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4"/>
    <sheet state="visible" name="2024" sheetId="2" r:id="rId5"/>
    <sheet state="visible" name="2023" sheetId="3" r:id="rId6"/>
    <sheet state="visible" name="2022" sheetId="4" r:id="rId7"/>
    <sheet state="visible" name="2021" sheetId="5" r:id="rId8"/>
    <sheet state="visible" name="2020" sheetId="6" r:id="rId9"/>
    <sheet state="visible" name="2019" sheetId="7" r:id="rId10"/>
    <sheet state="visible" name="2018" sheetId="8" r:id="rId11"/>
    <sheet state="visible" name="Summary" sheetId="9" r:id="rId12"/>
  </sheets>
  <definedNames>
    <definedName hidden="1" localSheetId="0" name="_xlnm._FilterDatabase">'2025'!$A$1:$AA$1000</definedName>
    <definedName hidden="1" localSheetId="1" name="_xlnm._FilterDatabase">'2024'!$A$1:$AA$1000</definedName>
  </definedNames>
  <calcPr/>
</workbook>
</file>

<file path=xl/sharedStrings.xml><?xml version="1.0" encoding="utf-8"?>
<sst xmlns="http://schemas.openxmlformats.org/spreadsheetml/2006/main" count="5109" uniqueCount="603">
  <si>
    <t>Pick</t>
  </si>
  <si>
    <t>Intro</t>
  </si>
  <si>
    <t>Winner</t>
  </si>
  <si>
    <t>Type</t>
  </si>
  <si>
    <t>Name</t>
  </si>
  <si>
    <t>Salary</t>
  </si>
  <si>
    <t>Term</t>
  </si>
  <si>
    <t>Picks Transferred</t>
  </si>
  <si>
    <t>UFA</t>
  </si>
  <si>
    <t>UFA Rank</t>
  </si>
  <si>
    <t>RFA</t>
  </si>
  <si>
    <t>RFA Rank</t>
  </si>
  <si>
    <t>GVR</t>
  </si>
  <si>
    <t>MAC</t>
  </si>
  <si>
    <t>Mikko Rantanen</t>
  </si>
  <si>
    <t>2028 1st (MAC)</t>
  </si>
  <si>
    <t>2030 1st (MAC)</t>
  </si>
  <si>
    <t>2030 2nd (MAC)</t>
  </si>
  <si>
    <t>2029 3rd (MAC)</t>
  </si>
  <si>
    <t>HSM</t>
  </si>
  <si>
    <t>Connor Hellebuyck</t>
  </si>
  <si>
    <t>BOT</t>
  </si>
  <si>
    <t>Timo Meier</t>
  </si>
  <si>
    <t>ZSK</t>
  </si>
  <si>
    <t>Nikita Kucherov</t>
  </si>
  <si>
    <t>SRL</t>
  </si>
  <si>
    <t>Evan Bouchard</t>
  </si>
  <si>
    <t>LGN</t>
  </si>
  <si>
    <t>Juuse Saros</t>
  </si>
  <si>
    <t>Auston Matthews</t>
  </si>
  <si>
    <t>Artemi Panarin</t>
  </si>
  <si>
    <t>Alex DeBrincat</t>
  </si>
  <si>
    <t>Ryan Nugent-Hopkins</t>
  </si>
  <si>
    <t>SHF</t>
  </si>
  <si>
    <t>Pyotr Kochetkov</t>
  </si>
  <si>
    <t>2028 2nd (SHF)</t>
  </si>
  <si>
    <t>Andrei Vasilevsky</t>
  </si>
  <si>
    <t>LPT</t>
  </si>
  <si>
    <t>JHN</t>
  </si>
  <si>
    <t>Dylan Larkin</t>
  </si>
  <si>
    <t>Sergei Bobrovsky</t>
  </si>
  <si>
    <t>Kyle Connor</t>
  </si>
  <si>
    <t>2027 1st (HSM)</t>
  </si>
  <si>
    <t>2026 2nd (LPT)</t>
  </si>
  <si>
    <t>2026 3rd (LPT)</t>
  </si>
  <si>
    <t>2027 3rd (MAC)</t>
  </si>
  <si>
    <t>Travis Konecny</t>
  </si>
  <si>
    <t>Aaron Ekblad</t>
  </si>
  <si>
    <t>VPP</t>
  </si>
  <si>
    <t>Jack Hughes</t>
  </si>
  <si>
    <t>Sidney Crosby</t>
  </si>
  <si>
    <t>Seth Jarvis</t>
  </si>
  <si>
    <t>2027 2nd (ZSK)</t>
  </si>
  <si>
    <t>2027 3rd (GVR)</t>
  </si>
  <si>
    <t>Sam Reinhart</t>
  </si>
  <si>
    <t>Kirill Marchenko</t>
  </si>
  <si>
    <t>2026 2nd (HSM)</t>
  </si>
  <si>
    <t>2027 3rd (LPT)</t>
  </si>
  <si>
    <t>Jake Guentzel</t>
  </si>
  <si>
    <t>Clayton Keller</t>
  </si>
  <si>
    <t>Mark Scheifele</t>
  </si>
  <si>
    <t>Matt Boldy</t>
  </si>
  <si>
    <t>Zach Hyman</t>
  </si>
  <si>
    <t>Drake Batherson</t>
  </si>
  <si>
    <t>Mathew Barzal</t>
  </si>
  <si>
    <t>Noah Dobson</t>
  </si>
  <si>
    <t>Sam Bennett</t>
  </si>
  <si>
    <t>Lukas Dostal</t>
  </si>
  <si>
    <t>Darcy Kuemper</t>
  </si>
  <si>
    <t>Troy Terry</t>
  </si>
  <si>
    <t>Jacob Markstrom</t>
  </si>
  <si>
    <t>Bowen Byram</t>
  </si>
  <si>
    <t>Brandon Hagel</t>
  </si>
  <si>
    <t>Jamie Drysdale</t>
  </si>
  <si>
    <t>Ryan Donato</t>
  </si>
  <si>
    <t>Barrett Hayton</t>
  </si>
  <si>
    <t>JT Miller</t>
  </si>
  <si>
    <t>Jake Walman</t>
  </si>
  <si>
    <t>Matt Duchene</t>
  </si>
  <si>
    <t>John Carlson</t>
  </si>
  <si>
    <t>Anthony Stolarz</t>
  </si>
  <si>
    <t>Alex Ovechkin</t>
  </si>
  <si>
    <t>Nikolaj Ehlers</t>
  </si>
  <si>
    <t>Sebastian Aho</t>
  </si>
  <si>
    <t>John Tavares</t>
  </si>
  <si>
    <t>Filip Forsberg</t>
  </si>
  <si>
    <t>Bo Horvat</t>
  </si>
  <si>
    <t>Zach Werenski</t>
  </si>
  <si>
    <t>Victor Hedman</t>
  </si>
  <si>
    <t>Kevin Fiala</t>
  </si>
  <si>
    <t>Josh Morrissey</t>
  </si>
  <si>
    <t>Charlie McAvoy</t>
  </si>
  <si>
    <t>Dougie Hamilton</t>
  </si>
  <si>
    <t>Brent Burns</t>
  </si>
  <si>
    <t>Bryan Rust</t>
  </si>
  <si>
    <t>Mika Zibanejad</t>
  </si>
  <si>
    <t>Anze Kopitar</t>
  </si>
  <si>
    <t>Brad Marchand</t>
  </si>
  <si>
    <t>Andrian Kempe</t>
  </si>
  <si>
    <t>Jakob Chychrun</t>
  </si>
  <si>
    <t>Mikael Granlund</t>
  </si>
  <si>
    <t>Roop Hintz</t>
  </si>
  <si>
    <t>Mattias Ekholm</t>
  </si>
  <si>
    <t>Shayne Gostisbehere</t>
  </si>
  <si>
    <t>Jamie Benn</t>
  </si>
  <si>
    <t>Karel Vejmelka</t>
  </si>
  <si>
    <t>Steven Stamkos</t>
  </si>
  <si>
    <t>Cam Fowler</t>
  </si>
  <si>
    <t>Gustav Forsling</t>
  </si>
  <si>
    <t>Devon Toews</t>
  </si>
  <si>
    <t>Aliaksei Protas</t>
  </si>
  <si>
    <t>Neal Pionk</t>
  </si>
  <si>
    <t>Joey Daccord</t>
  </si>
  <si>
    <t>Erik Karlsson</t>
  </si>
  <si>
    <t>Vince Dunn</t>
  </si>
  <si>
    <t>Pierre-Luc Dubois</t>
  </si>
  <si>
    <t>Sean Monahan</t>
  </si>
  <si>
    <t>Vincent Trochek</t>
  </si>
  <si>
    <t>Noah Hanifin</t>
  </si>
  <si>
    <t>Tyler Toffoli</t>
  </si>
  <si>
    <t>Mark Stone</t>
  </si>
  <si>
    <t>Tom Wilson</t>
  </si>
  <si>
    <t>Morgan Geekie</t>
  </si>
  <si>
    <t>Seth Jones</t>
  </si>
  <si>
    <t>Frederik Andersen</t>
  </si>
  <si>
    <t>Brandon Montour</t>
  </si>
  <si>
    <t>Evgeni Malkin</t>
  </si>
  <si>
    <t>Trevor Zegras</t>
  </si>
  <si>
    <t>Patrick Kane</t>
  </si>
  <si>
    <t>MacKenzie Weegar</t>
  </si>
  <si>
    <t>Ivan Barbashev</t>
  </si>
  <si>
    <t>Jackson LaCombe</t>
  </si>
  <si>
    <t>Tomas Hertl</t>
  </si>
  <si>
    <t>Tony Deangelo</t>
  </si>
  <si>
    <t>Mats Zuccarello</t>
  </si>
  <si>
    <t>Rickard Rakell</t>
  </si>
  <si>
    <t>Tyler Seguin</t>
  </si>
  <si>
    <t>Rasmus Andersson</t>
  </si>
  <si>
    <t>Nick Schmaltz</t>
  </si>
  <si>
    <t>Valeri Nichushkin</t>
  </si>
  <si>
    <t>Drew Doughty</t>
  </si>
  <si>
    <t>Anthony Cirelli</t>
  </si>
  <si>
    <t>Darren Raddysh</t>
  </si>
  <si>
    <t>Cam York</t>
  </si>
  <si>
    <t>Jonathan Marchessault</t>
  </si>
  <si>
    <t>Mike Matheson</t>
  </si>
  <si>
    <t>Jared McCann</t>
  </si>
  <si>
    <t>Jeff Petry</t>
  </si>
  <si>
    <t>Sean Durzi</t>
  </si>
  <si>
    <t>Travis Sanheim</t>
  </si>
  <si>
    <t>Artturi Lehkonen</t>
  </si>
  <si>
    <t>Brady Skjei</t>
  </si>
  <si>
    <t>Joel Farabee</t>
  </si>
  <si>
    <t>Connor Garland</t>
  </si>
  <si>
    <t>Kris Letang</t>
  </si>
  <si>
    <t>Claude Giroux</t>
  </si>
  <si>
    <t>K'andre Miller</t>
  </si>
  <si>
    <t>Josh Norris</t>
  </si>
  <si>
    <t>Dante Fabbro</t>
  </si>
  <si>
    <t>Andrew Mangiapane</t>
  </si>
  <si>
    <t>Jaccob Slavin</t>
  </si>
  <si>
    <t>Justin Faulk</t>
  </si>
  <si>
    <t>Oliver Bjorkstrand</t>
  </si>
  <si>
    <t>Hampus Lindholm</t>
  </si>
  <si>
    <t>Colton Parayko</t>
  </si>
  <si>
    <t>Samuel Girard</t>
  </si>
  <si>
    <t>Dmitry Orlov</t>
  </si>
  <si>
    <t>Maxim Shabanov</t>
  </si>
  <si>
    <t>Ivan Provorov</t>
  </si>
  <si>
    <t>Oliver Ekman-Larsson</t>
  </si>
  <si>
    <t>Gabriel Landeskog</t>
  </si>
  <si>
    <t>John Klingberg</t>
  </si>
  <si>
    <t>Chandler Stephenson</t>
  </si>
  <si>
    <t>Ryan O'reilly</t>
  </si>
  <si>
    <t>Tristan Jarry</t>
  </si>
  <si>
    <t>Jake Oettinger</t>
  </si>
  <si>
    <t>Jason Robertson</t>
  </si>
  <si>
    <t>Igor Shesterkin</t>
  </si>
  <si>
    <t>2026 2nd (SRL)</t>
  </si>
  <si>
    <t>2028 1st (JHN)</t>
  </si>
  <si>
    <t>Artermi Panarin</t>
  </si>
  <si>
    <t>Trevor Moore</t>
  </si>
  <si>
    <t>Miro Heiskanen</t>
  </si>
  <si>
    <t>2026 1st (MAC)</t>
  </si>
  <si>
    <t>2027 2nd (HSM)</t>
  </si>
  <si>
    <t>2029 3rd (HSM)</t>
  </si>
  <si>
    <t>Jeff Skinner</t>
  </si>
  <si>
    <t>Nico Hischier</t>
  </si>
  <si>
    <t>Mitch Marner</t>
  </si>
  <si>
    <t>Nazim Kadri</t>
  </si>
  <si>
    <t>Connor McDavid</t>
  </si>
  <si>
    <t>Aleksander Barkov</t>
  </si>
  <si>
    <t>2029 1st (SRL)</t>
  </si>
  <si>
    <t>2028 2nd (SRL)</t>
  </si>
  <si>
    <t>Stuart Skinner</t>
  </si>
  <si>
    <t>2026 2nd (SHF)</t>
  </si>
  <si>
    <t>2026 1st (SRL)</t>
  </si>
  <si>
    <t>Ukko-Pekka Luukkonen</t>
  </si>
  <si>
    <t>Gustav Nyquist</t>
  </si>
  <si>
    <t>Brock Boeser</t>
  </si>
  <si>
    <t>2026 3rd (LGN)</t>
  </si>
  <si>
    <t>Lucas Raymond</t>
  </si>
  <si>
    <t>2025 1st (LPT)</t>
  </si>
  <si>
    <t>2027 3rd (HSM)</t>
  </si>
  <si>
    <t>Owen Tippett</t>
  </si>
  <si>
    <t>Casey Mittelstadt</t>
  </si>
  <si>
    <t>Gabe Vilardi</t>
  </si>
  <si>
    <t>Chris Kreider</t>
  </si>
  <si>
    <t>Roman Josi</t>
  </si>
  <si>
    <t>Alex Tuch</t>
  </si>
  <si>
    <t>Cam Talbot</t>
  </si>
  <si>
    <t>Martin Necas</t>
  </si>
  <si>
    <t>2029 2nd (SRL)</t>
  </si>
  <si>
    <t>Anthony Duclair</t>
  </si>
  <si>
    <t>Darnell Nurse</t>
  </si>
  <si>
    <t>Filip Chytil</t>
  </si>
  <si>
    <t>Jordan Binnington</t>
  </si>
  <si>
    <t>Timothy Liljegren</t>
  </si>
  <si>
    <t>Elias Lindholm</t>
  </si>
  <si>
    <t>Andrei Vasilevskiy</t>
  </si>
  <si>
    <t>Shea Theodore</t>
  </si>
  <si>
    <t>Linus Ullmark</t>
  </si>
  <si>
    <t>K'Andre Miller</t>
  </si>
  <si>
    <t>Filip Hronek</t>
  </si>
  <si>
    <t>Ilya Sorokin</t>
  </si>
  <si>
    <t>Brock Nelson</t>
  </si>
  <si>
    <t>Vincent Trocheck</t>
  </si>
  <si>
    <t>Joel Eriksson Ek</t>
  </si>
  <si>
    <t>Carter Verhaeghe</t>
  </si>
  <si>
    <t>Charlie Lindgren</t>
  </si>
  <si>
    <t>Vladimir Tarasenko</t>
  </si>
  <si>
    <t>Adrian Kempe</t>
  </si>
  <si>
    <t>Taylor Hall</t>
  </si>
  <si>
    <t>Ryan O'Reilly</t>
  </si>
  <si>
    <t>Alex Pietrangelo</t>
  </si>
  <si>
    <t>Nikolaj Ehelers</t>
  </si>
  <si>
    <t>Andrei Kuzmenko</t>
  </si>
  <si>
    <t>Teuvo Teravainen</t>
  </si>
  <si>
    <t>Jake Debrusk</t>
  </si>
  <si>
    <t>Jonathan Drouin</t>
  </si>
  <si>
    <t>Viktor Arvidsson</t>
  </si>
  <si>
    <t>Marc-Andre Fleury</t>
  </si>
  <si>
    <t>Charlie Coyle</t>
  </si>
  <si>
    <t>Yegor Sharangovich</t>
  </si>
  <si>
    <t>Michael Bunting</t>
  </si>
  <si>
    <t>Jacob Trouba</t>
  </si>
  <si>
    <t>Tyler Bertuzzi</t>
  </si>
  <si>
    <t>Adam Henrique</t>
  </si>
  <si>
    <t>Erik Gustafsson</t>
  </si>
  <si>
    <t>Mason Marchment</t>
  </si>
  <si>
    <t>Viktor Olofsson</t>
  </si>
  <si>
    <t>Thomas Hertl</t>
  </si>
  <si>
    <t>Philipp Kurashev</t>
  </si>
  <si>
    <t>Jordan Spence</t>
  </si>
  <si>
    <t>Ryan McDonagh</t>
  </si>
  <si>
    <t>Brayden Schenn</t>
  </si>
  <si>
    <t>Tommy Novak</t>
  </si>
  <si>
    <t>Damon Severson</t>
  </si>
  <si>
    <t>Josh Manson</t>
  </si>
  <si>
    <t>Jordan Eberle</t>
  </si>
  <si>
    <t>Henry Thun</t>
  </si>
  <si>
    <t>Nikolai Kovalenko</t>
  </si>
  <si>
    <t>Esa Lindell</t>
  </si>
  <si>
    <t>Logan Thompson</t>
  </si>
  <si>
    <t>Phillip Danault</t>
  </si>
  <si>
    <t>Marcus Petterson</t>
  </si>
  <si>
    <t>Kaiden Guhle</t>
  </si>
  <si>
    <t>Max Domi</t>
  </si>
  <si>
    <t>David Perron</t>
  </si>
  <si>
    <t>Sean Walker</t>
  </si>
  <si>
    <t>Frank Vantrano</t>
  </si>
  <si>
    <t>Daniel Sprong</t>
  </si>
  <si>
    <t>Sean Couturier</t>
  </si>
  <si>
    <t>Drew</t>
  </si>
  <si>
    <t>Lloyd</t>
  </si>
  <si>
    <t>Tage Thompson</t>
  </si>
  <si>
    <t>2024 1st (SRL)</t>
  </si>
  <si>
    <t>2024 3rd</t>
  </si>
  <si>
    <t>2025 2nd</t>
  </si>
  <si>
    <t>2025 3rd</t>
  </si>
  <si>
    <t>Tevie</t>
  </si>
  <si>
    <t>Mike</t>
  </si>
  <si>
    <t>Leon Draisaitl</t>
  </si>
  <si>
    <t>2024 1st (BOT), 2025 1st (LPT), 2026 1st (LPT), 2027 1st (LPT)</t>
  </si>
  <si>
    <t>Zale</t>
  </si>
  <si>
    <t>Kyle</t>
  </si>
  <si>
    <t>Masliyah</t>
  </si>
  <si>
    <t>Staav</t>
  </si>
  <si>
    <t>Shafran</t>
  </si>
  <si>
    <t>Nathan MacKinnon</t>
  </si>
  <si>
    <t>Vitek Vanecek</t>
  </si>
  <si>
    <t>Ilya Samsonov</t>
  </si>
  <si>
    <t>Thatcher Demko</t>
  </si>
  <si>
    <t>Craig</t>
  </si>
  <si>
    <t>Searle</t>
  </si>
  <si>
    <t>Brayden Point</t>
  </si>
  <si>
    <t>Johnny Gaudreau</t>
  </si>
  <si>
    <t>David Pastrnak</t>
  </si>
  <si>
    <t>Joe Pavelski</t>
  </si>
  <si>
    <t>2024 1st (SRL), 2024 3rd (BOT)</t>
  </si>
  <si>
    <t>Morgan Rielly</t>
  </si>
  <si>
    <t>William Nylander</t>
  </si>
  <si>
    <t>2024 1st (MAC), 2025 2nd (SRL)</t>
  </si>
  <si>
    <t>Rasmus Dahlin</t>
  </si>
  <si>
    <t>Jordan Kyrou</t>
  </si>
  <si>
    <t>Pavel Buchnevich</t>
  </si>
  <si>
    <t>Mikhail Sergachev</t>
  </si>
  <si>
    <t>Nick Suzuki</t>
  </si>
  <si>
    <t>Cole Caufield</t>
  </si>
  <si>
    <t>2024 2nd (MAC)</t>
  </si>
  <si>
    <t>2024 2nd (MAC), 2024 2nd (SHF)</t>
  </si>
  <si>
    <t>Filip Gustavsson</t>
  </si>
  <si>
    <t>Jordan Binnnington</t>
  </si>
  <si>
    <t>Scott Perunovich</t>
  </si>
  <si>
    <t>Ville Husso</t>
  </si>
  <si>
    <t>Roope Hintz</t>
  </si>
  <si>
    <t>Jesper Bratt</t>
  </si>
  <si>
    <t>Tyson Barrie</t>
  </si>
  <si>
    <t>Philipp Grubauer</t>
  </si>
  <si>
    <t>Jeremy Swayman</t>
  </si>
  <si>
    <t>Alex Petriangelo</t>
  </si>
  <si>
    <t>Elvis Merzlikins</t>
  </si>
  <si>
    <t>Evander Kane</t>
  </si>
  <si>
    <t>William Karlsson</t>
  </si>
  <si>
    <t>Jack Campbell</t>
  </si>
  <si>
    <t>Adin Hill</t>
  </si>
  <si>
    <t>Erik Haula</t>
  </si>
  <si>
    <t>Cam Fowlers</t>
  </si>
  <si>
    <t>Blake Wheeler</t>
  </si>
  <si>
    <t>Pavel Zacha</t>
  </si>
  <si>
    <t>Logan Couture</t>
  </si>
  <si>
    <t>Reilly Smith</t>
  </si>
  <si>
    <t>Joonas Korpisalo</t>
  </si>
  <si>
    <t>Torey Krug</t>
  </si>
  <si>
    <t>Ryan Hartman</t>
  </si>
  <si>
    <t>Evgeny Kuznetsov</t>
  </si>
  <si>
    <t>Alex Killorn</t>
  </si>
  <si>
    <t>Pheonix Coply</t>
  </si>
  <si>
    <t>Pavel Francouz</t>
  </si>
  <si>
    <t>Connor Brown</t>
  </si>
  <si>
    <t>Nicklas Backstrom</t>
  </si>
  <si>
    <t>Jared Spurgeon</t>
  </si>
  <si>
    <t>Adam Larsson</t>
  </si>
  <si>
    <t>Luke Evangelista</t>
  </si>
  <si>
    <t>Justin Schultz</t>
  </si>
  <si>
    <t>Noah Cates</t>
  </si>
  <si>
    <t>Brett Pesce</t>
  </si>
  <si>
    <t>Akira Schmid</t>
  </si>
  <si>
    <t>Kevin Hayes</t>
  </si>
  <si>
    <t>Sean Couterier</t>
  </si>
  <si>
    <t>Kevin Shattenkirk</t>
  </si>
  <si>
    <t>Antti Raanta</t>
  </si>
  <si>
    <t>Anders Lee</t>
  </si>
  <si>
    <t>Pavel Dorofeyev</t>
  </si>
  <si>
    <t>Justin Barron</t>
  </si>
  <si>
    <t>Cale Makar</t>
  </si>
  <si>
    <t>Jakob Markstrom</t>
  </si>
  <si>
    <t>Jonathan Huberdeau</t>
  </si>
  <si>
    <t>Adam Fox</t>
  </si>
  <si>
    <t>Robert Thomas</t>
  </si>
  <si>
    <t>2023 1st (Zale)</t>
  </si>
  <si>
    <t>Quinn Hughes</t>
  </si>
  <si>
    <t>2023 2nd (Shafran)</t>
  </si>
  <si>
    <t>2024 1st (Lipton)</t>
  </si>
  <si>
    <t>Kirill Kaprizov</t>
  </si>
  <si>
    <t>2024 2nd (Staav)</t>
  </si>
  <si>
    <t>2024 3rd (Staav)</t>
  </si>
  <si>
    <t>2025 1st (Searle)</t>
  </si>
  <si>
    <t>2026 1st (Searle)</t>
  </si>
  <si>
    <t>Matthew Tkachuk</t>
  </si>
  <si>
    <t>Mike Zibanejad</t>
  </si>
  <si>
    <t>Andrei Svechnikov</t>
  </si>
  <si>
    <t>2024 1st (Lloyd)</t>
  </si>
  <si>
    <t>Alexandar Georgiev</t>
  </si>
  <si>
    <t>Nicolas Roy</t>
  </si>
  <si>
    <t>Nazem Kadri</t>
  </si>
  <si>
    <t>2023 2nd (Drew)</t>
  </si>
  <si>
    <t>Brady Tkachuk</t>
  </si>
  <si>
    <t>Elias Pettersson</t>
  </si>
  <si>
    <t>2024 3rd (Michael)</t>
  </si>
  <si>
    <t>Jake Muzzin</t>
  </si>
  <si>
    <t>2023 2nd (Tevie)</t>
  </si>
  <si>
    <t>2024 2nd (Tevie)</t>
  </si>
  <si>
    <t>Colin White</t>
  </si>
  <si>
    <t>Yanni Gourde</t>
  </si>
  <si>
    <t>Pierre Luc Dubois</t>
  </si>
  <si>
    <t>2023 3rd (Tevie)</t>
  </si>
  <si>
    <t>2024 2nd (Drew)</t>
  </si>
  <si>
    <t>Ryan Johansen</t>
  </si>
  <si>
    <t>2023 3rd (Lloyd)</t>
  </si>
  <si>
    <t>Ryan Strome</t>
  </si>
  <si>
    <t>Dylan Strome</t>
  </si>
  <si>
    <t>Carter Hart</t>
  </si>
  <si>
    <t>Anthony Beauvillier</t>
  </si>
  <si>
    <t>Valeri Nichuskin</t>
  </si>
  <si>
    <t>Jakub Voracek</t>
  </si>
  <si>
    <t>Patrice Bergeron</t>
  </si>
  <si>
    <t>TJ Oshie</t>
  </si>
  <si>
    <t>Ondrej Palat</t>
  </si>
  <si>
    <t>David Krejci</t>
  </si>
  <si>
    <t>Phil Kessel</t>
  </si>
  <si>
    <t>Jonathan Quick</t>
  </si>
  <si>
    <t>Alexander Kerfoot</t>
  </si>
  <si>
    <t>Jake Allen</t>
  </si>
  <si>
    <t>Mark Giordano</t>
  </si>
  <si>
    <t>Cam Atkinson</t>
  </si>
  <si>
    <t>Boone Jenner</t>
  </si>
  <si>
    <t>Anti Raanta</t>
  </si>
  <si>
    <t>Jaden Schwartz</t>
  </si>
  <si>
    <t>Victor Olofsson</t>
  </si>
  <si>
    <t>Alexandre Carrier</t>
  </si>
  <si>
    <t>JT Compher</t>
  </si>
  <si>
    <t>Matt Dumba</t>
  </si>
  <si>
    <t>Jonathan Toews</t>
  </si>
  <si>
    <t>Kaapo Kahkonen</t>
  </si>
  <si>
    <t>Ryan Pulock</t>
  </si>
  <si>
    <t>Max Pacioretty</t>
  </si>
  <si>
    <t>Cal Peterson</t>
  </si>
  <si>
    <t>Oliver Kylington</t>
  </si>
  <si>
    <t>Nate Schmidt</t>
  </si>
  <si>
    <t>Semyon Varlamov</t>
  </si>
  <si>
    <t>Paul Stastny</t>
  </si>
  <si>
    <t>Nino Niederreiter</t>
  </si>
  <si>
    <t>Alex Goligoski</t>
  </si>
  <si>
    <t>Brandon Saad</t>
  </si>
  <si>
    <t>Philip Danault</t>
  </si>
  <si>
    <t>Connor Hellbuyck</t>
  </si>
  <si>
    <t>Tony DeAngelo</t>
  </si>
  <si>
    <t>2022 3rd (LSD)</t>
  </si>
  <si>
    <t>Mike Smith</t>
  </si>
  <si>
    <t>Petr Mrazek</t>
  </si>
  <si>
    <t>2022 2nd (MAC)</t>
  </si>
  <si>
    <t>Thomas Chabot</t>
  </si>
  <si>
    <t>2022 3rd (LGN)</t>
  </si>
  <si>
    <t>Patrik Kane</t>
  </si>
  <si>
    <t>2022 2nd (JHN)</t>
  </si>
  <si>
    <t>2023 2nd (ZSK)</t>
  </si>
  <si>
    <t>Robin Lehner</t>
  </si>
  <si>
    <t>Kasperin Kananen</t>
  </si>
  <si>
    <t>Jakub Vrana</t>
  </si>
  <si>
    <t>Carey Price</t>
  </si>
  <si>
    <t>2022 3rd (VPP)</t>
  </si>
  <si>
    <t>2022 2nd (GVR)</t>
  </si>
  <si>
    <t>Christian Dvorak</t>
  </si>
  <si>
    <t>Eeli Tolvanen</t>
  </si>
  <si>
    <t>Patric Hornqvist</t>
  </si>
  <si>
    <t>Mackenzie Weeger</t>
  </si>
  <si>
    <t>Ryan Ellis</t>
  </si>
  <si>
    <t>Matz Zuccarello</t>
  </si>
  <si>
    <t>Mike Hoffman</t>
  </si>
  <si>
    <t>Jordan Staal</t>
  </si>
  <si>
    <t>Josh Bailey</t>
  </si>
  <si>
    <t>Matt Grzelyck</t>
  </si>
  <si>
    <t>PK Subban</t>
  </si>
  <si>
    <t>Jeff Carter</t>
  </si>
  <si>
    <t>Ryan Suter</t>
  </si>
  <si>
    <t>Ross Colton</t>
  </si>
  <si>
    <t>Alec Martinez</t>
  </si>
  <si>
    <t>Tomas Tatar</t>
  </si>
  <si>
    <t>Nick Leddy</t>
  </si>
  <si>
    <t>James van Riemsdyk</t>
  </si>
  <si>
    <t>Brendan Gallagher</t>
  </si>
  <si>
    <t>Rasmus Ristolainen</t>
  </si>
  <si>
    <t>Keith Yandle</t>
  </si>
  <si>
    <t>Mike Reilly</t>
  </si>
  <si>
    <t>Jonas Brodin</t>
  </si>
  <si>
    <t>John Marino</t>
  </si>
  <si>
    <t>Rasmus Sandin</t>
  </si>
  <si>
    <t>Joonas Donskoi</t>
  </si>
  <si>
    <t>Tyler Johnson</t>
  </si>
  <si>
    <t>Jack Eichel</t>
  </si>
  <si>
    <t>Matthew Barzal</t>
  </si>
  <si>
    <t>Patrick Laine</t>
  </si>
  <si>
    <t>Braden Holtby</t>
  </si>
  <si>
    <t>Tuukka Rask</t>
  </si>
  <si>
    <t>Andre Burakovsky</t>
  </si>
  <si>
    <t>Anthony Mantha</t>
  </si>
  <si>
    <t>Eric Staal</t>
  </si>
  <si>
    <t>Mikko Koskinen</t>
  </si>
  <si>
    <t>Will Butcher</t>
  </si>
  <si>
    <t>Chris Tierney</t>
  </si>
  <si>
    <t>Nick Petan</t>
  </si>
  <si>
    <t>Anton Khudobin</t>
  </si>
  <si>
    <t>Shea Weber</t>
  </si>
  <si>
    <t>Evgenii Dadonov</t>
  </si>
  <si>
    <t>Alex Edler</t>
  </si>
  <si>
    <t>Duncan Keith</t>
  </si>
  <si>
    <t>Dmirty Orlov</t>
  </si>
  <si>
    <t>Jason Zucker</t>
  </si>
  <si>
    <t>Vinnie Hinostroza</t>
  </si>
  <si>
    <t>Zach Parise</t>
  </si>
  <si>
    <t>Devon Dubnyk</t>
  </si>
  <si>
    <t>Alexander Radulov</t>
  </si>
  <si>
    <t>Kyle Turris</t>
  </si>
  <si>
    <t>Ben Bishop</t>
  </si>
  <si>
    <t>Mikael Backlund</t>
  </si>
  <si>
    <t>Calvin Petersen</t>
  </si>
  <si>
    <t>Ilya Mikheyev</t>
  </si>
  <si>
    <t>Ryan Getzlaf</t>
  </si>
  <si>
    <t>Joe Thornton</t>
  </si>
  <si>
    <t>Ville Heinola</t>
  </si>
  <si>
    <t>Denis Gurianov</t>
  </si>
  <si>
    <t>Dominik Kubalik</t>
  </si>
  <si>
    <t>Kyle Palmieri</t>
  </si>
  <si>
    <t>Alex Iafallo</t>
  </si>
  <si>
    <t>Ryan Graves</t>
  </si>
  <si>
    <t>Matt Grzelcyk</t>
  </si>
  <si>
    <t>Juuso Valimaki</t>
  </si>
  <si>
    <t>Ondrej Kase</t>
  </si>
  <si>
    <t>Collin Delia</t>
  </si>
  <si>
    <t>Andrei Vasilevski</t>
  </si>
  <si>
    <t>Matt Murray</t>
  </si>
  <si>
    <t>Frederik Anderson</t>
  </si>
  <si>
    <t>Ryan Murray</t>
  </si>
  <si>
    <t>Miko Koskinen</t>
  </si>
  <si>
    <t>Devan Dubnyk</t>
  </si>
  <si>
    <t>Cody Ceci</t>
  </si>
  <si>
    <t>Pekka Rinne</t>
  </si>
  <si>
    <t>Tuuka Rask</t>
  </si>
  <si>
    <t>Thomas Greiss</t>
  </si>
  <si>
    <t>Alex Radulov</t>
  </si>
  <si>
    <t>Cory Schneider</t>
  </si>
  <si>
    <t>Max Comtois</t>
  </si>
  <si>
    <t>Jake Gardiner</t>
  </si>
  <si>
    <t>John Gibson</t>
  </si>
  <si>
    <t>Evgeni Dadonov</t>
  </si>
  <si>
    <t>Nikita Gusev</t>
  </si>
  <si>
    <t>Oscar Klefbom</t>
  </si>
  <si>
    <t>Corey Crawford</t>
  </si>
  <si>
    <t>Peter Mrazek</t>
  </si>
  <si>
    <t>TJ Brodie</t>
  </si>
  <si>
    <t>James Neal</t>
  </si>
  <si>
    <t>Rickard Rackell</t>
  </si>
  <si>
    <t>Ryan Dzingel</t>
  </si>
  <si>
    <t>Dominik Kahun</t>
  </si>
  <si>
    <t>Henrik Lundqvist</t>
  </si>
  <si>
    <t>Dustin Byfuglien</t>
  </si>
  <si>
    <t>Carter Hutton</t>
  </si>
  <si>
    <t>Andreas Johnsson</t>
  </si>
  <si>
    <t>Dimitry Orlov</t>
  </si>
  <si>
    <t>Mikko Koivu</t>
  </si>
  <si>
    <t>Jaroslav Halak</t>
  </si>
  <si>
    <t>Craig Anderson</t>
  </si>
  <si>
    <t>Martin Jones</t>
  </si>
  <si>
    <t>J.T. Miller</t>
  </si>
  <si>
    <t>Nick Bjugstad</t>
  </si>
  <si>
    <t>Ty Rattie</t>
  </si>
  <si>
    <t>Ryan Spooner</t>
  </si>
  <si>
    <t>Vladislav Namestnikov</t>
  </si>
  <si>
    <t>Sven Baertschi</t>
  </si>
  <si>
    <t>Roberto Luongo</t>
  </si>
  <si>
    <t>Mattias Janmark</t>
  </si>
  <si>
    <t>Brian Elliott</t>
  </si>
  <si>
    <t>Ilya Kovalchuk</t>
  </si>
  <si>
    <t>Max Paccioretty</t>
  </si>
  <si>
    <t>Patrick Marleau</t>
  </si>
  <si>
    <t>Dustin Brown</t>
  </si>
  <si>
    <t>Jakob Silfverberg</t>
  </si>
  <si>
    <t>Colin Miller</t>
  </si>
  <si>
    <t>Craig Smith</t>
  </si>
  <si>
    <t>Derek Stepan</t>
  </si>
  <si>
    <t>Tyler Myers</t>
  </si>
  <si>
    <t>Matt Niskanen</t>
  </si>
  <si>
    <t>Marc-Edouard Vlasic</t>
  </si>
  <si>
    <t>Mike Green</t>
  </si>
  <si>
    <t>Sami Vatanen</t>
  </si>
  <si>
    <t>Corey Perry</t>
  </si>
  <si>
    <t>Alex Kerfoot</t>
  </si>
  <si>
    <t>Derick Brassard</t>
  </si>
  <si>
    <t>Markus Nutivaara</t>
  </si>
  <si>
    <t>Jack Roslovic</t>
  </si>
  <si>
    <t>Bryan Little</t>
  </si>
  <si>
    <t>Patrick Maroon</t>
  </si>
  <si>
    <t>Brent Seabrook</t>
  </si>
  <si>
    <t>Justin Williams</t>
  </si>
  <si>
    <t>Olli Maata</t>
  </si>
  <si>
    <t>Drafted Players</t>
  </si>
  <si>
    <t>Total</t>
  </si>
  <si>
    <t>Check</t>
  </si>
  <si>
    <t>Average Salary</t>
  </si>
  <si>
    <t>Contracts at Min Salary</t>
  </si>
  <si>
    <t>Contracts at Min Salary % of Drafted Players</t>
  </si>
  <si>
    <t>Top Salaries</t>
  </si>
  <si>
    <t>UFA (top 10)</t>
  </si>
  <si>
    <t>RFA (top 10)</t>
  </si>
  <si>
    <t>UFA (top 5)</t>
  </si>
  <si>
    <t>RFA (top 5)</t>
  </si>
  <si>
    <t>UFA Salary Distribution</t>
  </si>
  <si>
    <t>&lt;$1</t>
  </si>
  <si>
    <t>$1 to $2</t>
  </si>
  <si>
    <t>$2 to $3</t>
  </si>
  <si>
    <t>$3 to $4</t>
  </si>
  <si>
    <t>$4 to $5</t>
  </si>
  <si>
    <t>$5 to $6</t>
  </si>
  <si>
    <t>$6 to $7</t>
  </si>
  <si>
    <t>$7 to $8</t>
  </si>
  <si>
    <t>$8 to $9</t>
  </si>
  <si>
    <t>$9 to $10</t>
  </si>
  <si>
    <t>&gt;$10</t>
  </si>
  <si>
    <t>Average Term</t>
  </si>
  <si>
    <t>Contracts &gt;1 Year</t>
  </si>
  <si>
    <t>Contracts &gt;1 Year % of Total Drafted Players</t>
  </si>
  <si>
    <t>Contracts = 1 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</si>
</sst>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0.0%"/>
  </numFmts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sz val="6.0"/>
      <color rgb="FF1D1C1D"/>
      <name val="Arial"/>
    </font>
    <font>
      <b/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0" xfId="0" applyFont="1"/>
    <xf borderId="0" fillId="0" fontId="4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6" numFmtId="0" xfId="0" applyFont="1"/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2" numFmtId="1" xfId="0" applyFont="1" applyNumberFormat="1"/>
    <xf borderId="0" fillId="0" fontId="5" numFmtId="1" xfId="0" applyFont="1" applyNumberFormat="1"/>
    <xf borderId="0" fillId="0" fontId="2" numFmtId="165" xfId="0" applyFont="1" applyNumberFormat="1"/>
    <xf borderId="0" fillId="0" fontId="5" numFmtId="165" xfId="0" applyFont="1" applyNumberFormat="1"/>
    <xf borderId="0" fillId="0" fontId="3" numFmtId="0" xfId="0" applyAlignment="1" applyFont="1">
      <alignment readingOrder="0" vertical="bottom"/>
    </xf>
    <xf borderId="0" fillId="0" fontId="2" numFmtId="10" xfId="0" applyFont="1" applyNumberFormat="1"/>
    <xf borderId="0" fillId="0" fontId="2" numFmtId="2" xfId="0" applyFont="1" applyNumberFormat="1"/>
    <xf borderId="0" fillId="0" fontId="5" numFmtId="2" xfId="0" applyFont="1" applyNumberFormat="1"/>
    <xf borderId="0" fillId="0" fontId="6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5"/>
    <col customWidth="1" min="5" max="5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U1" s="3" t="s">
        <v>8</v>
      </c>
      <c r="V1" s="3" t="s">
        <v>9</v>
      </c>
      <c r="W1" s="3" t="s">
        <v>10</v>
      </c>
      <c r="X1" s="3" t="s">
        <v>11</v>
      </c>
    </row>
    <row r="2">
      <c r="A2" s="4">
        <v>1.0</v>
      </c>
      <c r="B2" s="4" t="s">
        <v>12</v>
      </c>
      <c r="C2" s="4" t="s">
        <v>13</v>
      </c>
      <c r="D2" s="4" t="s">
        <v>10</v>
      </c>
      <c r="E2" s="4" t="s">
        <v>14</v>
      </c>
      <c r="F2" s="5">
        <v>6.5</v>
      </c>
      <c r="G2" s="5">
        <v>4.0</v>
      </c>
      <c r="H2" s="6" t="s">
        <v>15</v>
      </c>
      <c r="I2" s="6" t="s">
        <v>16</v>
      </c>
      <c r="J2" s="6" t="s">
        <v>17</v>
      </c>
      <c r="K2" s="6" t="s">
        <v>18</v>
      </c>
      <c r="L2" s="7"/>
      <c r="M2" s="7"/>
      <c r="N2" s="7"/>
      <c r="O2" s="7"/>
      <c r="P2" s="7"/>
      <c r="Q2" s="7"/>
      <c r="U2" s="8" t="str">
        <f t="shared" ref="U2:U140" si="1">if($D2=U$1,$F2,"")</f>
        <v/>
      </c>
      <c r="V2" s="8" t="str">
        <f t="shared" ref="V2:V140" si="2">rank(U2,$U$2:$U$173)</f>
        <v>#N/A</v>
      </c>
      <c r="W2" s="8">
        <f t="shared" ref="W2:W140" si="3">if($D2=W$1,$F2,"")</f>
        <v>6.5</v>
      </c>
      <c r="X2" s="8">
        <f t="shared" ref="X2:X140" si="4">rank(W2,$W$2:$W$173)</f>
        <v>2</v>
      </c>
    </row>
    <row r="3">
      <c r="A3" s="4">
        <f t="shared" ref="A3:A140" si="5">A2+1</f>
        <v>2</v>
      </c>
      <c r="B3" s="4" t="s">
        <v>12</v>
      </c>
      <c r="C3" s="4" t="s">
        <v>19</v>
      </c>
      <c r="D3" s="4" t="s">
        <v>8</v>
      </c>
      <c r="E3" s="4" t="s">
        <v>20</v>
      </c>
      <c r="F3" s="5">
        <v>8.4</v>
      </c>
      <c r="G3" s="5">
        <v>1.0</v>
      </c>
      <c r="H3" s="7"/>
      <c r="I3" s="7"/>
      <c r="J3" s="7"/>
      <c r="K3" s="7"/>
      <c r="L3" s="7"/>
      <c r="M3" s="7"/>
      <c r="N3" s="7"/>
      <c r="O3" s="7"/>
      <c r="P3" s="7"/>
      <c r="Q3" s="7"/>
      <c r="U3" s="8">
        <f t="shared" si="1"/>
        <v>8.4</v>
      </c>
      <c r="V3" s="8">
        <f t="shared" si="2"/>
        <v>2</v>
      </c>
      <c r="W3" s="8" t="str">
        <f t="shared" si="3"/>
        <v/>
      </c>
      <c r="X3" s="8" t="str">
        <f t="shared" si="4"/>
        <v>#N/A</v>
      </c>
    </row>
    <row r="4">
      <c r="A4" s="4">
        <f t="shared" si="5"/>
        <v>3</v>
      </c>
      <c r="B4" s="4" t="s">
        <v>21</v>
      </c>
      <c r="C4" s="4" t="s">
        <v>21</v>
      </c>
      <c r="D4" s="4" t="s">
        <v>10</v>
      </c>
      <c r="E4" s="4" t="s">
        <v>22</v>
      </c>
      <c r="F4" s="5">
        <v>3.2</v>
      </c>
      <c r="G4" s="5">
        <v>1.0</v>
      </c>
      <c r="H4" s="4"/>
      <c r="I4" s="4"/>
      <c r="J4" s="4"/>
      <c r="K4" s="4"/>
      <c r="L4" s="4"/>
      <c r="M4" s="7"/>
      <c r="N4" s="7"/>
      <c r="O4" s="7"/>
      <c r="P4" s="7"/>
      <c r="Q4" s="7"/>
      <c r="U4" s="8" t="str">
        <f t="shared" si="1"/>
        <v/>
      </c>
      <c r="V4" s="8" t="str">
        <f t="shared" si="2"/>
        <v>#N/A</v>
      </c>
      <c r="W4" s="8">
        <f t="shared" si="3"/>
        <v>3.2</v>
      </c>
      <c r="X4" s="8">
        <f t="shared" si="4"/>
        <v>8</v>
      </c>
    </row>
    <row r="5">
      <c r="A5" s="4">
        <f t="shared" si="5"/>
        <v>4</v>
      </c>
      <c r="B5" s="4" t="s">
        <v>21</v>
      </c>
      <c r="C5" s="4" t="s">
        <v>23</v>
      </c>
      <c r="D5" s="4" t="s">
        <v>8</v>
      </c>
      <c r="E5" s="4" t="s">
        <v>24</v>
      </c>
      <c r="F5" s="5">
        <v>10.0</v>
      </c>
      <c r="G5" s="5">
        <v>1.0</v>
      </c>
      <c r="H5" s="7"/>
      <c r="I5" s="7"/>
      <c r="J5" s="7"/>
      <c r="K5" s="7"/>
      <c r="L5" s="7"/>
      <c r="M5" s="7"/>
      <c r="N5" s="7"/>
      <c r="O5" s="7"/>
      <c r="P5" s="7"/>
      <c r="Q5" s="7"/>
      <c r="U5" s="8">
        <f t="shared" si="1"/>
        <v>10</v>
      </c>
      <c r="V5" s="8">
        <f t="shared" si="2"/>
        <v>1</v>
      </c>
      <c r="W5" s="8" t="str">
        <f t="shared" si="3"/>
        <v/>
      </c>
      <c r="X5" s="8" t="str">
        <f t="shared" si="4"/>
        <v>#N/A</v>
      </c>
    </row>
    <row r="6">
      <c r="A6" s="4">
        <f t="shared" si="5"/>
        <v>5</v>
      </c>
      <c r="B6" s="4" t="s">
        <v>25</v>
      </c>
      <c r="C6" s="4" t="s">
        <v>12</v>
      </c>
      <c r="D6" s="4" t="s">
        <v>10</v>
      </c>
      <c r="E6" s="4" t="s">
        <v>26</v>
      </c>
      <c r="F6" s="5">
        <v>5.6</v>
      </c>
      <c r="G6" s="5">
        <v>2.0</v>
      </c>
      <c r="H6" s="6"/>
      <c r="I6" s="6"/>
      <c r="J6" s="7"/>
      <c r="K6" s="9"/>
      <c r="L6" s="7"/>
      <c r="M6" s="7"/>
      <c r="N6" s="7"/>
      <c r="O6" s="7"/>
      <c r="P6" s="7"/>
      <c r="Q6" s="7"/>
      <c r="U6" s="8" t="str">
        <f t="shared" si="1"/>
        <v/>
      </c>
      <c r="V6" s="8" t="str">
        <f t="shared" si="2"/>
        <v>#N/A</v>
      </c>
      <c r="W6" s="8">
        <f t="shared" si="3"/>
        <v>5.6</v>
      </c>
      <c r="X6" s="8">
        <f t="shared" si="4"/>
        <v>4</v>
      </c>
    </row>
    <row r="7">
      <c r="A7" s="4">
        <f t="shared" si="5"/>
        <v>6</v>
      </c>
      <c r="B7" s="4" t="s">
        <v>25</v>
      </c>
      <c r="C7" s="4" t="s">
        <v>27</v>
      </c>
      <c r="D7" s="4" t="s">
        <v>8</v>
      </c>
      <c r="E7" s="4" t="s">
        <v>28</v>
      </c>
      <c r="F7" s="5">
        <v>2.2</v>
      </c>
      <c r="G7" s="5">
        <v>2.0</v>
      </c>
      <c r="H7" s="7"/>
      <c r="I7" s="7"/>
      <c r="J7" s="7"/>
      <c r="K7" s="7"/>
      <c r="L7" s="7"/>
      <c r="M7" s="7"/>
      <c r="N7" s="7"/>
      <c r="O7" s="7"/>
      <c r="P7" s="7"/>
      <c r="Q7" s="7"/>
      <c r="U7" s="8">
        <f t="shared" si="1"/>
        <v>2.2</v>
      </c>
      <c r="V7" s="8">
        <f t="shared" si="2"/>
        <v>36</v>
      </c>
      <c r="W7" s="8" t="str">
        <f t="shared" si="3"/>
        <v/>
      </c>
      <c r="X7" s="8" t="str">
        <f t="shared" si="4"/>
        <v>#N/A</v>
      </c>
    </row>
    <row r="8">
      <c r="A8" s="4">
        <f t="shared" si="5"/>
        <v>7</v>
      </c>
      <c r="B8" s="4" t="s">
        <v>23</v>
      </c>
      <c r="C8" s="4" t="s">
        <v>19</v>
      </c>
      <c r="D8" s="4" t="s">
        <v>10</v>
      </c>
      <c r="E8" s="4" t="s">
        <v>29</v>
      </c>
      <c r="F8" s="5">
        <v>6.6</v>
      </c>
      <c r="G8" s="5">
        <v>3.0</v>
      </c>
      <c r="H8" s="7"/>
      <c r="I8" s="7"/>
      <c r="J8" s="7"/>
      <c r="K8" s="7"/>
      <c r="L8" s="7"/>
      <c r="M8" s="7"/>
      <c r="N8" s="7"/>
      <c r="O8" s="7"/>
      <c r="P8" s="7"/>
      <c r="Q8" s="7"/>
      <c r="U8" s="8" t="str">
        <f t="shared" si="1"/>
        <v/>
      </c>
      <c r="V8" s="8" t="str">
        <f t="shared" si="2"/>
        <v>#N/A</v>
      </c>
      <c r="W8" s="8">
        <f t="shared" si="3"/>
        <v>6.6</v>
      </c>
      <c r="X8" s="8">
        <f t="shared" si="4"/>
        <v>1</v>
      </c>
    </row>
    <row r="9">
      <c r="A9" s="4">
        <f t="shared" si="5"/>
        <v>8</v>
      </c>
      <c r="B9" s="4" t="s">
        <v>23</v>
      </c>
      <c r="C9" s="4" t="s">
        <v>21</v>
      </c>
      <c r="D9" s="4" t="s">
        <v>8</v>
      </c>
      <c r="E9" s="4" t="s">
        <v>30</v>
      </c>
      <c r="F9" s="5">
        <v>7.6</v>
      </c>
      <c r="G9" s="5">
        <v>1.0</v>
      </c>
      <c r="H9" s="6"/>
      <c r="I9" s="6"/>
      <c r="K9" s="6"/>
      <c r="L9" s="7"/>
      <c r="M9" s="7"/>
      <c r="N9" s="7"/>
      <c r="O9" s="7"/>
      <c r="P9" s="7"/>
      <c r="Q9" s="7"/>
      <c r="U9" s="8">
        <f t="shared" si="1"/>
        <v>7.6</v>
      </c>
      <c r="V9" s="8">
        <f t="shared" si="2"/>
        <v>3</v>
      </c>
      <c r="W9" s="8" t="str">
        <f t="shared" si="3"/>
        <v/>
      </c>
      <c r="X9" s="8" t="str">
        <f t="shared" si="4"/>
        <v>#N/A</v>
      </c>
    </row>
    <row r="10">
      <c r="A10" s="4">
        <f t="shared" si="5"/>
        <v>9</v>
      </c>
      <c r="B10" s="4" t="s">
        <v>13</v>
      </c>
      <c r="C10" s="4" t="s">
        <v>13</v>
      </c>
      <c r="D10" s="4" t="s">
        <v>10</v>
      </c>
      <c r="E10" s="4" t="s">
        <v>31</v>
      </c>
      <c r="F10" s="5">
        <v>3.2</v>
      </c>
      <c r="G10" s="5">
        <v>1.0</v>
      </c>
      <c r="H10" s="7"/>
      <c r="I10" s="7"/>
      <c r="J10" s="7"/>
      <c r="K10" s="7"/>
      <c r="L10" s="7"/>
      <c r="M10" s="7"/>
      <c r="N10" s="7"/>
      <c r="O10" s="7"/>
      <c r="P10" s="7"/>
      <c r="Q10" s="7"/>
      <c r="U10" s="8" t="str">
        <f t="shared" si="1"/>
        <v/>
      </c>
      <c r="V10" s="8" t="str">
        <f t="shared" si="2"/>
        <v>#N/A</v>
      </c>
      <c r="W10" s="8">
        <f t="shared" si="3"/>
        <v>3.2</v>
      </c>
      <c r="X10" s="8">
        <f t="shared" si="4"/>
        <v>8</v>
      </c>
    </row>
    <row r="11">
      <c r="A11" s="4">
        <f t="shared" si="5"/>
        <v>10</v>
      </c>
      <c r="B11" s="4" t="s">
        <v>13</v>
      </c>
      <c r="C11" s="4" t="s">
        <v>23</v>
      </c>
      <c r="D11" s="4" t="s">
        <v>8</v>
      </c>
      <c r="E11" s="4" t="s">
        <v>32</v>
      </c>
      <c r="F11" s="5">
        <v>1.9</v>
      </c>
      <c r="G11" s="5">
        <v>1.0</v>
      </c>
      <c r="H11" s="7"/>
      <c r="I11" s="7"/>
      <c r="J11" s="7"/>
      <c r="K11" s="7"/>
      <c r="L11" s="7"/>
      <c r="M11" s="7"/>
      <c r="N11" s="7"/>
      <c r="O11" s="7"/>
      <c r="P11" s="7"/>
      <c r="Q11" s="7"/>
      <c r="U11" s="8">
        <f t="shared" si="1"/>
        <v>1.9</v>
      </c>
      <c r="V11" s="8">
        <f t="shared" si="2"/>
        <v>44</v>
      </c>
      <c r="W11" s="8" t="str">
        <f t="shared" si="3"/>
        <v/>
      </c>
      <c r="X11" s="8" t="str">
        <f t="shared" si="4"/>
        <v>#N/A</v>
      </c>
    </row>
    <row r="12">
      <c r="A12" s="4">
        <f t="shared" si="5"/>
        <v>11</v>
      </c>
      <c r="B12" s="4" t="s">
        <v>33</v>
      </c>
      <c r="C12" s="4" t="s">
        <v>33</v>
      </c>
      <c r="D12" s="4" t="s">
        <v>10</v>
      </c>
      <c r="E12" s="4" t="s">
        <v>34</v>
      </c>
      <c r="F12" s="5">
        <v>2.4</v>
      </c>
      <c r="G12" s="5">
        <v>3.0</v>
      </c>
      <c r="H12" s="6" t="s">
        <v>35</v>
      </c>
      <c r="I12" s="7"/>
      <c r="J12" s="7"/>
      <c r="K12" s="7"/>
      <c r="L12" s="7"/>
      <c r="M12" s="7"/>
      <c r="N12" s="7"/>
      <c r="O12" s="7"/>
      <c r="P12" s="7"/>
      <c r="Q12" s="7"/>
      <c r="U12" s="8" t="str">
        <f t="shared" si="1"/>
        <v/>
      </c>
      <c r="V12" s="8" t="str">
        <f t="shared" si="2"/>
        <v>#N/A</v>
      </c>
      <c r="W12" s="8">
        <f t="shared" si="3"/>
        <v>2.4</v>
      </c>
      <c r="X12" s="8">
        <f t="shared" si="4"/>
        <v>13</v>
      </c>
    </row>
    <row r="13">
      <c r="A13" s="4">
        <f t="shared" si="5"/>
        <v>12</v>
      </c>
      <c r="B13" s="4" t="s">
        <v>33</v>
      </c>
      <c r="C13" s="4" t="s">
        <v>13</v>
      </c>
      <c r="D13" s="4" t="s">
        <v>8</v>
      </c>
      <c r="E13" s="4" t="s">
        <v>36</v>
      </c>
      <c r="F13" s="5">
        <v>7.4</v>
      </c>
      <c r="G13" s="5">
        <v>1.0</v>
      </c>
      <c r="H13" s="7"/>
      <c r="I13" s="7"/>
      <c r="J13" s="7"/>
      <c r="K13" s="7"/>
      <c r="L13" s="7"/>
      <c r="M13" s="7"/>
      <c r="N13" s="7"/>
      <c r="O13" s="7"/>
      <c r="P13" s="7"/>
      <c r="Q13" s="7"/>
      <c r="U13" s="8">
        <f t="shared" si="1"/>
        <v>7.4</v>
      </c>
      <c r="V13" s="8">
        <f t="shared" si="2"/>
        <v>4</v>
      </c>
      <c r="W13" s="8" t="str">
        <f t="shared" si="3"/>
        <v/>
      </c>
      <c r="X13" s="8" t="str">
        <f t="shared" si="4"/>
        <v>#N/A</v>
      </c>
    </row>
    <row r="14">
      <c r="A14" s="4">
        <f t="shared" si="5"/>
        <v>13</v>
      </c>
      <c r="B14" s="4" t="s">
        <v>37</v>
      </c>
      <c r="C14" s="4" t="s">
        <v>38</v>
      </c>
      <c r="D14" s="4" t="s">
        <v>10</v>
      </c>
      <c r="E14" s="4" t="s">
        <v>39</v>
      </c>
      <c r="F14" s="5">
        <v>2.7</v>
      </c>
      <c r="G14" s="5">
        <v>4.0</v>
      </c>
      <c r="H14" s="7"/>
      <c r="I14" s="7"/>
      <c r="J14" s="7"/>
      <c r="K14" s="7"/>
      <c r="L14" s="7"/>
      <c r="M14" s="7"/>
      <c r="N14" s="7"/>
      <c r="O14" s="7"/>
      <c r="P14" s="7"/>
      <c r="Q14" s="7"/>
      <c r="U14" s="8" t="str">
        <f t="shared" si="1"/>
        <v/>
      </c>
      <c r="V14" s="8" t="str">
        <f t="shared" si="2"/>
        <v>#N/A</v>
      </c>
      <c r="W14" s="8">
        <f t="shared" si="3"/>
        <v>2.7</v>
      </c>
      <c r="X14" s="8">
        <f t="shared" si="4"/>
        <v>11</v>
      </c>
    </row>
    <row r="15">
      <c r="A15" s="4">
        <f t="shared" si="5"/>
        <v>14</v>
      </c>
      <c r="B15" s="4" t="s">
        <v>37</v>
      </c>
      <c r="C15" s="4" t="s">
        <v>38</v>
      </c>
      <c r="D15" s="4" t="s">
        <v>8</v>
      </c>
      <c r="E15" s="4" t="s">
        <v>40</v>
      </c>
      <c r="F15" s="5">
        <v>6.5</v>
      </c>
      <c r="G15" s="5">
        <v>1.0</v>
      </c>
      <c r="H15" s="7"/>
      <c r="I15" s="7"/>
      <c r="J15" s="7"/>
      <c r="K15" s="7"/>
      <c r="L15" s="7"/>
      <c r="M15" s="7"/>
      <c r="N15" s="7"/>
      <c r="O15" s="7"/>
      <c r="P15" s="7"/>
      <c r="Q15" s="7"/>
      <c r="U15" s="8">
        <f t="shared" si="1"/>
        <v>6.5</v>
      </c>
      <c r="V15" s="8">
        <f t="shared" si="2"/>
        <v>5</v>
      </c>
      <c r="W15" s="8" t="str">
        <f t="shared" si="3"/>
        <v/>
      </c>
      <c r="X15" s="8" t="str">
        <f t="shared" si="4"/>
        <v>#N/A</v>
      </c>
    </row>
    <row r="16">
      <c r="A16" s="4">
        <f t="shared" si="5"/>
        <v>15</v>
      </c>
      <c r="B16" s="4" t="s">
        <v>27</v>
      </c>
      <c r="C16" s="4" t="s">
        <v>37</v>
      </c>
      <c r="D16" s="4" t="s">
        <v>10</v>
      </c>
      <c r="E16" s="4" t="s">
        <v>41</v>
      </c>
      <c r="F16" s="5">
        <v>5.8</v>
      </c>
      <c r="G16" s="5">
        <v>4.0</v>
      </c>
      <c r="H16" s="6" t="s">
        <v>42</v>
      </c>
      <c r="I16" s="6" t="s">
        <v>43</v>
      </c>
      <c r="J16" s="6" t="s">
        <v>44</v>
      </c>
      <c r="K16" s="6" t="s">
        <v>45</v>
      </c>
      <c r="L16" s="7"/>
      <c r="M16" s="7"/>
      <c r="N16" s="7"/>
      <c r="O16" s="7"/>
      <c r="P16" s="7"/>
      <c r="Q16" s="7"/>
      <c r="U16" s="8" t="str">
        <f t="shared" si="1"/>
        <v/>
      </c>
      <c r="V16" s="8" t="str">
        <f t="shared" si="2"/>
        <v>#N/A</v>
      </c>
      <c r="W16" s="8">
        <f t="shared" si="3"/>
        <v>5.8</v>
      </c>
      <c r="X16" s="8">
        <f t="shared" si="4"/>
        <v>3</v>
      </c>
    </row>
    <row r="17">
      <c r="A17" s="4">
        <f t="shared" si="5"/>
        <v>16</v>
      </c>
      <c r="B17" s="4" t="s">
        <v>27</v>
      </c>
      <c r="C17" s="4" t="s">
        <v>21</v>
      </c>
      <c r="D17" s="4" t="s">
        <v>8</v>
      </c>
      <c r="E17" s="4" t="s">
        <v>46</v>
      </c>
      <c r="F17" s="5">
        <v>3.4</v>
      </c>
      <c r="G17" s="5">
        <v>1.0</v>
      </c>
      <c r="H17" s="6"/>
      <c r="I17" s="6"/>
      <c r="J17" s="7"/>
      <c r="K17" s="7"/>
      <c r="L17" s="7"/>
      <c r="M17" s="7"/>
      <c r="N17" s="7"/>
      <c r="O17" s="7"/>
      <c r="P17" s="7"/>
      <c r="Q17" s="7"/>
      <c r="U17" s="8">
        <f t="shared" si="1"/>
        <v>3.4</v>
      </c>
      <c r="V17" s="8">
        <f t="shared" si="2"/>
        <v>19</v>
      </c>
      <c r="W17" s="8" t="str">
        <f t="shared" si="3"/>
        <v/>
      </c>
      <c r="X17" s="8" t="str">
        <f t="shared" si="4"/>
        <v>#N/A</v>
      </c>
    </row>
    <row r="18">
      <c r="A18" s="4">
        <f t="shared" si="5"/>
        <v>17</v>
      </c>
      <c r="B18" s="4" t="s">
        <v>19</v>
      </c>
      <c r="C18" s="4" t="s">
        <v>19</v>
      </c>
      <c r="D18" s="4" t="s">
        <v>8</v>
      </c>
      <c r="E18" s="4" t="s">
        <v>47</v>
      </c>
      <c r="F18" s="5">
        <v>1.6</v>
      </c>
      <c r="G18" s="5">
        <v>1.0</v>
      </c>
      <c r="H18" s="7"/>
      <c r="I18" s="7"/>
      <c r="J18" s="7"/>
      <c r="K18" s="7"/>
      <c r="L18" s="7"/>
      <c r="M18" s="7"/>
      <c r="N18" s="7"/>
      <c r="O18" s="7"/>
      <c r="P18" s="7"/>
      <c r="Q18" s="7"/>
      <c r="U18" s="8">
        <f t="shared" si="1"/>
        <v>1.6</v>
      </c>
      <c r="V18" s="8">
        <f t="shared" si="2"/>
        <v>52</v>
      </c>
      <c r="W18" s="8" t="str">
        <f t="shared" si="3"/>
        <v/>
      </c>
      <c r="X18" s="8" t="str">
        <f t="shared" si="4"/>
        <v>#N/A</v>
      </c>
    </row>
    <row r="19">
      <c r="A19" s="4">
        <f t="shared" si="5"/>
        <v>18</v>
      </c>
      <c r="B19" s="4" t="s">
        <v>48</v>
      </c>
      <c r="C19" s="4" t="s">
        <v>19</v>
      </c>
      <c r="D19" s="4" t="s">
        <v>10</v>
      </c>
      <c r="E19" s="4" t="s">
        <v>49</v>
      </c>
      <c r="F19" s="5">
        <v>5.6</v>
      </c>
      <c r="G19" s="5">
        <v>3.0</v>
      </c>
      <c r="H19" s="7"/>
      <c r="I19" s="7"/>
      <c r="J19" s="7"/>
      <c r="K19" s="7"/>
      <c r="L19" s="7"/>
      <c r="M19" s="7"/>
      <c r="N19" s="7"/>
      <c r="O19" s="7"/>
      <c r="P19" s="7"/>
      <c r="Q19" s="7"/>
      <c r="U19" s="8" t="str">
        <f t="shared" si="1"/>
        <v/>
      </c>
      <c r="V19" s="8" t="str">
        <f t="shared" si="2"/>
        <v>#N/A</v>
      </c>
      <c r="W19" s="8">
        <f t="shared" si="3"/>
        <v>5.6</v>
      </c>
      <c r="X19" s="8">
        <f t="shared" si="4"/>
        <v>4</v>
      </c>
    </row>
    <row r="20">
      <c r="A20" s="4">
        <f t="shared" si="5"/>
        <v>19</v>
      </c>
      <c r="B20" s="4" t="s">
        <v>48</v>
      </c>
      <c r="C20" s="4" t="s">
        <v>37</v>
      </c>
      <c r="D20" s="4" t="s">
        <v>8</v>
      </c>
      <c r="E20" s="4" t="s">
        <v>50</v>
      </c>
      <c r="F20" s="5">
        <v>5.2</v>
      </c>
      <c r="G20" s="5">
        <v>1.0</v>
      </c>
      <c r="H20" s="6"/>
      <c r="K20" s="7"/>
      <c r="L20" s="7"/>
      <c r="M20" s="7"/>
      <c r="N20" s="7"/>
      <c r="O20" s="7"/>
      <c r="P20" s="7"/>
      <c r="Q20" s="7"/>
      <c r="U20" s="8">
        <f t="shared" si="1"/>
        <v>5.2</v>
      </c>
      <c r="V20" s="8">
        <f t="shared" si="2"/>
        <v>11</v>
      </c>
      <c r="W20" s="8" t="str">
        <f t="shared" si="3"/>
        <v/>
      </c>
      <c r="X20" s="8" t="str">
        <f t="shared" si="4"/>
        <v>#N/A</v>
      </c>
    </row>
    <row r="21">
      <c r="A21" s="4">
        <f t="shared" si="5"/>
        <v>20</v>
      </c>
      <c r="B21" s="4" t="s">
        <v>38</v>
      </c>
      <c r="C21" s="4" t="s">
        <v>23</v>
      </c>
      <c r="D21" s="4" t="s">
        <v>10</v>
      </c>
      <c r="E21" s="4" t="s">
        <v>51</v>
      </c>
      <c r="F21" s="5">
        <v>3.2</v>
      </c>
      <c r="G21" s="5">
        <v>6.0</v>
      </c>
      <c r="H21" s="6" t="s">
        <v>52</v>
      </c>
      <c r="I21" s="6" t="s">
        <v>53</v>
      </c>
      <c r="J21" s="7"/>
      <c r="K21" s="7"/>
      <c r="L21" s="7"/>
      <c r="M21" s="7"/>
      <c r="N21" s="7"/>
      <c r="O21" s="7"/>
      <c r="P21" s="7"/>
      <c r="Q21" s="7"/>
      <c r="U21" s="8" t="str">
        <f t="shared" si="1"/>
        <v/>
      </c>
      <c r="V21" s="8" t="str">
        <f t="shared" si="2"/>
        <v>#N/A</v>
      </c>
      <c r="W21" s="8">
        <f t="shared" si="3"/>
        <v>3.2</v>
      </c>
      <c r="X21" s="8">
        <f t="shared" si="4"/>
        <v>8</v>
      </c>
    </row>
    <row r="22">
      <c r="A22" s="4">
        <f t="shared" si="5"/>
        <v>21</v>
      </c>
      <c r="B22" s="4" t="s">
        <v>38</v>
      </c>
      <c r="C22" s="4" t="s">
        <v>38</v>
      </c>
      <c r="D22" s="4" t="s">
        <v>8</v>
      </c>
      <c r="E22" s="4" t="s">
        <v>54</v>
      </c>
      <c r="F22" s="5">
        <v>6.4</v>
      </c>
      <c r="G22" s="5">
        <v>2.0</v>
      </c>
      <c r="H22" s="7"/>
      <c r="I22" s="7"/>
      <c r="J22" s="7"/>
      <c r="K22" s="7"/>
      <c r="L22" s="7"/>
      <c r="M22" s="7"/>
      <c r="N22" s="7"/>
      <c r="O22" s="7"/>
      <c r="P22" s="7"/>
      <c r="Q22" s="7"/>
      <c r="U22" s="8">
        <f t="shared" si="1"/>
        <v>6.4</v>
      </c>
      <c r="V22" s="8">
        <f t="shared" si="2"/>
        <v>6</v>
      </c>
      <c r="W22" s="8" t="str">
        <f t="shared" si="3"/>
        <v/>
      </c>
      <c r="X22" s="8" t="str">
        <f t="shared" si="4"/>
        <v>#N/A</v>
      </c>
    </row>
    <row r="23">
      <c r="A23" s="4">
        <f t="shared" si="5"/>
        <v>22</v>
      </c>
      <c r="B23" s="4" t="s">
        <v>12</v>
      </c>
      <c r="C23" s="4" t="s">
        <v>27</v>
      </c>
      <c r="D23" s="4" t="s">
        <v>10</v>
      </c>
      <c r="E23" s="4" t="s">
        <v>55</v>
      </c>
      <c r="F23" s="5">
        <v>2.7</v>
      </c>
      <c r="G23" s="5">
        <v>3.0</v>
      </c>
      <c r="H23" s="6" t="s">
        <v>56</v>
      </c>
      <c r="I23" s="6" t="s">
        <v>57</v>
      </c>
      <c r="J23" s="7"/>
      <c r="K23" s="7"/>
      <c r="L23" s="7"/>
      <c r="M23" s="7"/>
      <c r="N23" s="7"/>
      <c r="O23" s="7"/>
      <c r="P23" s="7"/>
      <c r="Q23" s="7"/>
      <c r="U23" s="8" t="str">
        <f t="shared" si="1"/>
        <v/>
      </c>
      <c r="V23" s="8" t="str">
        <f t="shared" si="2"/>
        <v>#N/A</v>
      </c>
      <c r="W23" s="8">
        <f t="shared" si="3"/>
        <v>2.7</v>
      </c>
      <c r="X23" s="8">
        <f t="shared" si="4"/>
        <v>11</v>
      </c>
    </row>
    <row r="24">
      <c r="A24" s="4">
        <f t="shared" si="5"/>
        <v>23</v>
      </c>
      <c r="B24" s="4" t="s">
        <v>12</v>
      </c>
      <c r="C24" s="4" t="s">
        <v>38</v>
      </c>
      <c r="D24" s="4" t="s">
        <v>8</v>
      </c>
      <c r="E24" s="4" t="s">
        <v>58</v>
      </c>
      <c r="F24" s="5">
        <v>5.9</v>
      </c>
      <c r="G24" s="5">
        <v>1.0</v>
      </c>
      <c r="H24" s="6"/>
      <c r="I24" s="6"/>
      <c r="J24" s="6"/>
      <c r="K24" s="6"/>
      <c r="L24" s="7"/>
      <c r="M24" s="7"/>
      <c r="N24" s="7"/>
      <c r="O24" s="7"/>
      <c r="P24" s="7"/>
      <c r="Q24" s="7"/>
      <c r="U24" s="8">
        <f t="shared" si="1"/>
        <v>5.9</v>
      </c>
      <c r="V24" s="8">
        <f t="shared" si="2"/>
        <v>8</v>
      </c>
      <c r="W24" s="8" t="str">
        <f t="shared" si="3"/>
        <v/>
      </c>
      <c r="X24" s="8" t="str">
        <f t="shared" si="4"/>
        <v>#N/A</v>
      </c>
    </row>
    <row r="25">
      <c r="A25" s="4">
        <f t="shared" si="5"/>
        <v>24</v>
      </c>
      <c r="B25" s="4" t="s">
        <v>21</v>
      </c>
      <c r="C25" s="4" t="s">
        <v>19</v>
      </c>
      <c r="D25" s="4" t="s">
        <v>10</v>
      </c>
      <c r="E25" s="4" t="s">
        <v>59</v>
      </c>
      <c r="F25" s="5">
        <v>3.3</v>
      </c>
      <c r="G25" s="5">
        <v>5.0</v>
      </c>
      <c r="H25" s="7"/>
      <c r="I25" s="7"/>
      <c r="J25" s="7"/>
      <c r="K25" s="7"/>
      <c r="L25" s="7"/>
      <c r="M25" s="7"/>
      <c r="N25" s="7"/>
      <c r="O25" s="7"/>
      <c r="P25" s="7"/>
      <c r="Q25" s="7"/>
      <c r="U25" s="8" t="str">
        <f t="shared" si="1"/>
        <v/>
      </c>
      <c r="V25" s="8" t="str">
        <f t="shared" si="2"/>
        <v>#N/A</v>
      </c>
      <c r="W25" s="8">
        <f t="shared" si="3"/>
        <v>3.3</v>
      </c>
      <c r="X25" s="8">
        <f t="shared" si="4"/>
        <v>7</v>
      </c>
    </row>
    <row r="26">
      <c r="A26" s="4">
        <f t="shared" si="5"/>
        <v>25</v>
      </c>
      <c r="B26" s="4" t="s">
        <v>21</v>
      </c>
      <c r="C26" s="4" t="s">
        <v>37</v>
      </c>
      <c r="D26" s="4" t="s">
        <v>8</v>
      </c>
      <c r="E26" s="4" t="s">
        <v>60</v>
      </c>
      <c r="F26" s="5">
        <v>5.7</v>
      </c>
      <c r="G26" s="5">
        <v>1.0</v>
      </c>
      <c r="H26" s="6"/>
      <c r="I26" s="6"/>
      <c r="J26" s="6"/>
      <c r="K26" s="6"/>
      <c r="L26" s="7"/>
      <c r="M26" s="7"/>
      <c r="N26" s="7"/>
      <c r="O26" s="7"/>
      <c r="P26" s="7"/>
      <c r="Q26" s="7"/>
      <c r="U26" s="8">
        <f t="shared" si="1"/>
        <v>5.7</v>
      </c>
      <c r="V26" s="8">
        <f t="shared" si="2"/>
        <v>9</v>
      </c>
      <c r="W26" s="8" t="str">
        <f t="shared" si="3"/>
        <v/>
      </c>
      <c r="X26" s="8" t="str">
        <f t="shared" si="4"/>
        <v>#N/A</v>
      </c>
    </row>
    <row r="27">
      <c r="A27" s="4">
        <f t="shared" si="5"/>
        <v>26</v>
      </c>
      <c r="B27" s="4" t="s">
        <v>25</v>
      </c>
      <c r="C27" s="4" t="s">
        <v>12</v>
      </c>
      <c r="D27" s="4" t="s">
        <v>10</v>
      </c>
      <c r="E27" s="4" t="s">
        <v>61</v>
      </c>
      <c r="F27" s="5">
        <v>3.4</v>
      </c>
      <c r="G27" s="5">
        <v>2.0</v>
      </c>
      <c r="H27" s="7"/>
      <c r="I27" s="7"/>
      <c r="J27" s="7"/>
      <c r="K27" s="7"/>
      <c r="L27" s="7"/>
      <c r="M27" s="7"/>
      <c r="N27" s="7"/>
      <c r="O27" s="7"/>
      <c r="P27" s="7"/>
      <c r="Q27" s="7"/>
      <c r="U27" s="8" t="str">
        <f t="shared" si="1"/>
        <v/>
      </c>
      <c r="V27" s="8" t="str">
        <f t="shared" si="2"/>
        <v>#N/A</v>
      </c>
      <c r="W27" s="8">
        <f t="shared" si="3"/>
        <v>3.4</v>
      </c>
      <c r="X27" s="8">
        <f t="shared" si="4"/>
        <v>6</v>
      </c>
    </row>
    <row r="28">
      <c r="A28" s="4">
        <f t="shared" si="5"/>
        <v>27</v>
      </c>
      <c r="B28" s="4" t="s">
        <v>25</v>
      </c>
      <c r="C28" s="4" t="s">
        <v>38</v>
      </c>
      <c r="D28" s="4" t="s">
        <v>8</v>
      </c>
      <c r="E28" s="4" t="s">
        <v>62</v>
      </c>
      <c r="F28" s="5">
        <v>2.0</v>
      </c>
      <c r="G28" s="10">
        <v>1.0</v>
      </c>
      <c r="H28" s="7"/>
      <c r="I28" s="7"/>
      <c r="J28" s="7"/>
      <c r="K28" s="7"/>
      <c r="L28" s="7"/>
      <c r="M28" s="7"/>
      <c r="N28" s="7"/>
      <c r="O28" s="7"/>
      <c r="P28" s="7"/>
      <c r="Q28" s="7"/>
      <c r="U28" s="8">
        <f t="shared" si="1"/>
        <v>2</v>
      </c>
      <c r="V28" s="8">
        <f t="shared" si="2"/>
        <v>40</v>
      </c>
      <c r="W28" s="8" t="str">
        <f t="shared" si="3"/>
        <v/>
      </c>
      <c r="X28" s="8" t="str">
        <f t="shared" si="4"/>
        <v>#N/A</v>
      </c>
    </row>
    <row r="29">
      <c r="A29" s="4">
        <f t="shared" si="5"/>
        <v>28</v>
      </c>
      <c r="B29" s="4" t="s">
        <v>23</v>
      </c>
      <c r="C29" s="4" t="s">
        <v>21</v>
      </c>
      <c r="D29" s="4" t="s">
        <v>10</v>
      </c>
      <c r="E29" s="4" t="s">
        <v>63</v>
      </c>
      <c r="F29" s="5">
        <v>1.9</v>
      </c>
      <c r="G29" s="10">
        <v>1.0</v>
      </c>
      <c r="H29" s="11"/>
      <c r="I29" s="7"/>
      <c r="J29" s="7"/>
      <c r="K29" s="7"/>
      <c r="L29" s="7"/>
      <c r="M29" s="7"/>
      <c r="N29" s="7"/>
      <c r="O29" s="7"/>
      <c r="P29" s="7"/>
      <c r="Q29" s="7"/>
      <c r="U29" s="8" t="str">
        <f t="shared" si="1"/>
        <v/>
      </c>
      <c r="V29" s="8" t="str">
        <f t="shared" si="2"/>
        <v>#N/A</v>
      </c>
      <c r="W29" s="8">
        <f t="shared" si="3"/>
        <v>1.9</v>
      </c>
      <c r="X29" s="8">
        <f t="shared" si="4"/>
        <v>15</v>
      </c>
    </row>
    <row r="30">
      <c r="A30" s="4">
        <f t="shared" si="5"/>
        <v>29</v>
      </c>
      <c r="B30" s="4" t="s">
        <v>23</v>
      </c>
      <c r="C30" s="4" t="s">
        <v>23</v>
      </c>
      <c r="D30" s="4" t="s">
        <v>8</v>
      </c>
      <c r="E30" s="4" t="s">
        <v>64</v>
      </c>
      <c r="F30" s="5">
        <v>2.3</v>
      </c>
      <c r="G30" s="10">
        <v>2.0</v>
      </c>
      <c r="H30" s="7"/>
      <c r="I30" s="7"/>
      <c r="J30" s="7"/>
      <c r="K30" s="7"/>
      <c r="L30" s="7"/>
      <c r="M30" s="7"/>
      <c r="N30" s="7"/>
      <c r="O30" s="7"/>
      <c r="P30" s="7"/>
      <c r="Q30" s="7"/>
      <c r="U30" s="8">
        <f t="shared" si="1"/>
        <v>2.3</v>
      </c>
      <c r="V30" s="8">
        <f t="shared" si="2"/>
        <v>34</v>
      </c>
      <c r="W30" s="8" t="str">
        <f t="shared" si="3"/>
        <v/>
      </c>
      <c r="X30" s="8" t="str">
        <f t="shared" si="4"/>
        <v>#N/A</v>
      </c>
    </row>
    <row r="31">
      <c r="A31" s="4">
        <f t="shared" si="5"/>
        <v>30</v>
      </c>
      <c r="B31" s="4" t="s">
        <v>13</v>
      </c>
      <c r="C31" s="4" t="s">
        <v>21</v>
      </c>
      <c r="D31" s="4" t="s">
        <v>10</v>
      </c>
      <c r="E31" s="4" t="s">
        <v>65</v>
      </c>
      <c r="F31" s="5">
        <v>2.0</v>
      </c>
      <c r="G31" s="10">
        <v>2.0</v>
      </c>
      <c r="H31" s="7"/>
      <c r="I31" s="7"/>
      <c r="J31" s="7"/>
      <c r="K31" s="7"/>
      <c r="L31" s="7"/>
      <c r="M31" s="7"/>
      <c r="N31" s="7"/>
      <c r="O31" s="7"/>
      <c r="P31" s="7"/>
      <c r="Q31" s="7"/>
      <c r="U31" s="8" t="str">
        <f t="shared" si="1"/>
        <v/>
      </c>
      <c r="V31" s="8" t="str">
        <f t="shared" si="2"/>
        <v>#N/A</v>
      </c>
      <c r="W31" s="8">
        <f t="shared" si="3"/>
        <v>2</v>
      </c>
      <c r="X31" s="8">
        <f t="shared" si="4"/>
        <v>14</v>
      </c>
    </row>
    <row r="32">
      <c r="A32" s="4">
        <f t="shared" si="5"/>
        <v>31</v>
      </c>
      <c r="B32" s="4" t="s">
        <v>13</v>
      </c>
      <c r="C32" s="4" t="s">
        <v>37</v>
      </c>
      <c r="D32" s="4" t="s">
        <v>8</v>
      </c>
      <c r="E32" s="4" t="s">
        <v>66</v>
      </c>
      <c r="F32" s="5">
        <v>1.3</v>
      </c>
      <c r="G32" s="10">
        <v>1.0</v>
      </c>
      <c r="H32" s="7"/>
      <c r="I32" s="7"/>
      <c r="J32" s="7"/>
      <c r="K32" s="7"/>
      <c r="L32" s="7"/>
      <c r="M32" s="7"/>
      <c r="N32" s="7"/>
      <c r="O32" s="7"/>
      <c r="P32" s="7"/>
      <c r="Q32" s="7"/>
      <c r="U32" s="8">
        <f t="shared" si="1"/>
        <v>1.3</v>
      </c>
      <c r="V32" s="8">
        <f t="shared" si="2"/>
        <v>60</v>
      </c>
      <c r="W32" s="8" t="str">
        <f t="shared" si="3"/>
        <v/>
      </c>
      <c r="X32" s="8" t="str">
        <f t="shared" si="4"/>
        <v>#N/A</v>
      </c>
    </row>
    <row r="33">
      <c r="A33" s="4">
        <f t="shared" si="5"/>
        <v>32</v>
      </c>
      <c r="B33" s="4" t="s">
        <v>33</v>
      </c>
      <c r="C33" s="4" t="s">
        <v>23</v>
      </c>
      <c r="D33" s="4" t="s">
        <v>10</v>
      </c>
      <c r="E33" s="4" t="s">
        <v>67</v>
      </c>
      <c r="F33" s="5">
        <v>0.9</v>
      </c>
      <c r="G33" s="10">
        <v>4.0</v>
      </c>
      <c r="H33" s="7"/>
      <c r="I33" s="7"/>
      <c r="J33" s="7"/>
      <c r="K33" s="7"/>
      <c r="L33" s="7"/>
      <c r="M33" s="7"/>
      <c r="N33" s="7"/>
      <c r="O33" s="7"/>
      <c r="P33" s="7"/>
      <c r="Q33" s="7"/>
      <c r="U33" s="8" t="str">
        <f t="shared" si="1"/>
        <v/>
      </c>
      <c r="V33" s="8" t="str">
        <f t="shared" si="2"/>
        <v>#N/A</v>
      </c>
      <c r="W33" s="8">
        <f t="shared" si="3"/>
        <v>0.9</v>
      </c>
      <c r="X33" s="8">
        <f t="shared" si="4"/>
        <v>17</v>
      </c>
    </row>
    <row r="34">
      <c r="A34" s="4">
        <f t="shared" si="5"/>
        <v>33</v>
      </c>
      <c r="B34" s="4" t="s">
        <v>33</v>
      </c>
      <c r="C34" s="4" t="s">
        <v>25</v>
      </c>
      <c r="D34" s="4" t="s">
        <v>8</v>
      </c>
      <c r="E34" s="4" t="s">
        <v>68</v>
      </c>
      <c r="F34" s="5">
        <v>3.7</v>
      </c>
      <c r="G34" s="10">
        <v>1.0</v>
      </c>
      <c r="H34" s="7"/>
      <c r="I34" s="7"/>
      <c r="J34" s="7"/>
      <c r="K34" s="7"/>
      <c r="L34" s="7"/>
      <c r="M34" s="7"/>
      <c r="N34" s="7"/>
      <c r="O34" s="7"/>
      <c r="P34" s="7"/>
      <c r="Q34" s="7"/>
      <c r="U34" s="8">
        <f t="shared" si="1"/>
        <v>3.7</v>
      </c>
      <c r="V34" s="8">
        <f t="shared" si="2"/>
        <v>18</v>
      </c>
      <c r="W34" s="8" t="str">
        <f t="shared" si="3"/>
        <v/>
      </c>
      <c r="X34" s="8" t="str">
        <f t="shared" si="4"/>
        <v>#N/A</v>
      </c>
    </row>
    <row r="35">
      <c r="A35" s="4">
        <f t="shared" si="5"/>
        <v>34</v>
      </c>
      <c r="B35" s="4" t="s">
        <v>37</v>
      </c>
      <c r="C35" s="4" t="s">
        <v>38</v>
      </c>
      <c r="D35" s="4" t="s">
        <v>10</v>
      </c>
      <c r="E35" s="4" t="s">
        <v>69</v>
      </c>
      <c r="F35" s="5">
        <v>1.6</v>
      </c>
      <c r="G35" s="10">
        <v>1.0</v>
      </c>
      <c r="H35" s="7"/>
      <c r="I35" s="7"/>
      <c r="J35" s="7"/>
      <c r="K35" s="7"/>
      <c r="L35" s="7"/>
      <c r="M35" s="7"/>
      <c r="N35" s="7"/>
      <c r="O35" s="7"/>
      <c r="P35" s="7"/>
      <c r="Q35" s="7"/>
      <c r="U35" s="8" t="str">
        <f t="shared" si="1"/>
        <v/>
      </c>
      <c r="V35" s="8" t="str">
        <f t="shared" si="2"/>
        <v>#N/A</v>
      </c>
      <c r="W35" s="8">
        <f t="shared" si="3"/>
        <v>1.6</v>
      </c>
      <c r="X35" s="8">
        <f t="shared" si="4"/>
        <v>16</v>
      </c>
    </row>
    <row r="36">
      <c r="A36" s="4">
        <f t="shared" si="5"/>
        <v>35</v>
      </c>
      <c r="B36" s="4" t="s">
        <v>37</v>
      </c>
      <c r="C36" s="4" t="s">
        <v>19</v>
      </c>
      <c r="D36" s="4" t="s">
        <v>8</v>
      </c>
      <c r="E36" s="4" t="s">
        <v>70</v>
      </c>
      <c r="F36" s="5">
        <v>3.3</v>
      </c>
      <c r="G36" s="10">
        <v>1.0</v>
      </c>
      <c r="H36" s="7"/>
      <c r="I36" s="7"/>
      <c r="J36" s="7"/>
      <c r="K36" s="7"/>
      <c r="L36" s="7"/>
      <c r="M36" s="7"/>
      <c r="N36" s="7"/>
      <c r="O36" s="7"/>
      <c r="P36" s="7"/>
      <c r="Q36" s="7"/>
      <c r="U36" s="8">
        <f t="shared" si="1"/>
        <v>3.3</v>
      </c>
      <c r="V36" s="8">
        <f t="shared" si="2"/>
        <v>21</v>
      </c>
      <c r="W36" s="8" t="str">
        <f t="shared" si="3"/>
        <v/>
      </c>
      <c r="X36" s="8" t="str">
        <f t="shared" si="4"/>
        <v>#N/A</v>
      </c>
    </row>
    <row r="37">
      <c r="A37" s="4">
        <f t="shared" si="5"/>
        <v>36</v>
      </c>
      <c r="B37" s="4" t="s">
        <v>27</v>
      </c>
      <c r="C37" s="4" t="s">
        <v>12</v>
      </c>
      <c r="D37" s="4" t="s">
        <v>10</v>
      </c>
      <c r="E37" s="4" t="s">
        <v>71</v>
      </c>
      <c r="F37" s="5">
        <v>0.9</v>
      </c>
      <c r="G37" s="10">
        <v>3.0</v>
      </c>
      <c r="H37" s="7"/>
      <c r="I37" s="7"/>
      <c r="J37" s="7"/>
      <c r="K37" s="7"/>
      <c r="L37" s="7"/>
      <c r="M37" s="7"/>
      <c r="N37" s="7"/>
      <c r="O37" s="7"/>
      <c r="P37" s="7"/>
      <c r="Q37" s="7"/>
      <c r="U37" s="8" t="str">
        <f t="shared" si="1"/>
        <v/>
      </c>
      <c r="V37" s="8" t="str">
        <f t="shared" si="2"/>
        <v>#N/A</v>
      </c>
      <c r="W37" s="8">
        <f t="shared" si="3"/>
        <v>0.9</v>
      </c>
      <c r="X37" s="8">
        <f t="shared" si="4"/>
        <v>17</v>
      </c>
    </row>
    <row r="38">
      <c r="A38" s="4">
        <f t="shared" si="5"/>
        <v>37</v>
      </c>
      <c r="B38" s="4" t="s">
        <v>27</v>
      </c>
      <c r="C38" s="4" t="s">
        <v>25</v>
      </c>
      <c r="D38" s="4" t="s">
        <v>8</v>
      </c>
      <c r="E38" s="4" t="s">
        <v>72</v>
      </c>
      <c r="F38" s="5">
        <v>5.7</v>
      </c>
      <c r="G38" s="10">
        <v>1.0</v>
      </c>
      <c r="H38" s="7"/>
      <c r="I38" s="7"/>
      <c r="J38" s="7"/>
      <c r="K38" s="7"/>
      <c r="L38" s="7"/>
      <c r="M38" s="7"/>
      <c r="N38" s="7"/>
      <c r="O38" s="7"/>
      <c r="P38" s="7"/>
      <c r="Q38" s="7"/>
      <c r="U38" s="8">
        <f t="shared" si="1"/>
        <v>5.7</v>
      </c>
      <c r="V38" s="8">
        <f t="shared" si="2"/>
        <v>9</v>
      </c>
      <c r="W38" s="8" t="str">
        <f t="shared" si="3"/>
        <v/>
      </c>
      <c r="X38" s="8" t="str">
        <f t="shared" si="4"/>
        <v>#N/A</v>
      </c>
    </row>
    <row r="39">
      <c r="A39" s="4">
        <f t="shared" si="5"/>
        <v>38</v>
      </c>
      <c r="B39" s="4" t="s">
        <v>19</v>
      </c>
      <c r="C39" s="4" t="s">
        <v>19</v>
      </c>
      <c r="D39" s="4" t="s">
        <v>10</v>
      </c>
      <c r="E39" s="4" t="s">
        <v>73</v>
      </c>
      <c r="F39" s="5">
        <v>0.6</v>
      </c>
      <c r="G39" s="10">
        <v>1.0</v>
      </c>
      <c r="H39" s="6"/>
      <c r="I39" s="7"/>
      <c r="J39" s="7"/>
      <c r="K39" s="7"/>
      <c r="L39" s="7"/>
      <c r="M39" s="7"/>
      <c r="N39" s="7"/>
      <c r="O39" s="7"/>
      <c r="P39" s="7"/>
      <c r="Q39" s="7"/>
      <c r="U39" s="8" t="str">
        <f t="shared" si="1"/>
        <v/>
      </c>
      <c r="V39" s="8" t="str">
        <f t="shared" si="2"/>
        <v>#N/A</v>
      </c>
      <c r="W39" s="8">
        <f t="shared" si="3"/>
        <v>0.6</v>
      </c>
      <c r="X39" s="8">
        <f t="shared" si="4"/>
        <v>20</v>
      </c>
    </row>
    <row r="40">
      <c r="A40" s="4">
        <f t="shared" si="5"/>
        <v>39</v>
      </c>
      <c r="B40" s="4" t="s">
        <v>19</v>
      </c>
      <c r="C40" s="4" t="s">
        <v>23</v>
      </c>
      <c r="D40" s="4" t="s">
        <v>8</v>
      </c>
      <c r="E40" s="4" t="s">
        <v>74</v>
      </c>
      <c r="F40" s="5">
        <v>0.8</v>
      </c>
      <c r="G40" s="10">
        <v>1.0</v>
      </c>
      <c r="H40" s="11"/>
      <c r="I40" s="7"/>
      <c r="J40" s="7"/>
      <c r="K40" s="7"/>
      <c r="L40" s="7"/>
      <c r="M40" s="7"/>
      <c r="N40" s="7"/>
      <c r="O40" s="7"/>
      <c r="P40" s="7"/>
      <c r="Q40" s="7"/>
      <c r="U40" s="8">
        <f t="shared" si="1"/>
        <v>0.8</v>
      </c>
      <c r="V40" s="8">
        <f t="shared" si="2"/>
        <v>88</v>
      </c>
      <c r="W40" s="8" t="str">
        <f t="shared" si="3"/>
        <v/>
      </c>
      <c r="X40" s="8" t="str">
        <f t="shared" si="4"/>
        <v>#N/A</v>
      </c>
    </row>
    <row r="41">
      <c r="A41" s="4">
        <f t="shared" si="5"/>
        <v>40</v>
      </c>
      <c r="B41" s="4" t="s">
        <v>48</v>
      </c>
      <c r="C41" s="4" t="s">
        <v>38</v>
      </c>
      <c r="D41" s="4" t="s">
        <v>10</v>
      </c>
      <c r="E41" s="4" t="s">
        <v>75</v>
      </c>
      <c r="F41" s="5">
        <v>0.8</v>
      </c>
      <c r="G41" s="10">
        <v>1.0</v>
      </c>
      <c r="H41" s="7"/>
      <c r="I41" s="7"/>
      <c r="J41" s="7"/>
      <c r="K41" s="7"/>
      <c r="L41" s="7"/>
      <c r="M41" s="7"/>
      <c r="N41" s="7"/>
      <c r="O41" s="7"/>
      <c r="P41" s="7"/>
      <c r="Q41" s="7"/>
      <c r="U41" s="8" t="str">
        <f t="shared" si="1"/>
        <v/>
      </c>
      <c r="V41" s="8" t="str">
        <f t="shared" si="2"/>
        <v>#N/A</v>
      </c>
      <c r="W41" s="8">
        <f t="shared" si="3"/>
        <v>0.8</v>
      </c>
      <c r="X41" s="8">
        <f t="shared" si="4"/>
        <v>19</v>
      </c>
    </row>
    <row r="42">
      <c r="A42" s="4">
        <f t="shared" si="5"/>
        <v>41</v>
      </c>
      <c r="B42" s="4" t="s">
        <v>48</v>
      </c>
      <c r="C42" s="4" t="s">
        <v>13</v>
      </c>
      <c r="D42" s="4" t="s">
        <v>8</v>
      </c>
      <c r="E42" s="4" t="s">
        <v>76</v>
      </c>
      <c r="F42" s="5">
        <v>4.9</v>
      </c>
      <c r="G42" s="10">
        <v>1.0</v>
      </c>
      <c r="H42" s="7"/>
      <c r="I42" s="7"/>
      <c r="J42" s="7"/>
      <c r="K42" s="7"/>
      <c r="L42" s="7"/>
      <c r="M42" s="7"/>
      <c r="N42" s="7"/>
      <c r="O42" s="7"/>
      <c r="P42" s="7"/>
      <c r="Q42" s="7"/>
      <c r="U42" s="8">
        <f t="shared" si="1"/>
        <v>4.9</v>
      </c>
      <c r="V42" s="8">
        <f t="shared" si="2"/>
        <v>12</v>
      </c>
      <c r="W42" s="8" t="str">
        <f t="shared" si="3"/>
        <v/>
      </c>
      <c r="X42" s="8" t="str">
        <f t="shared" si="4"/>
        <v>#N/A</v>
      </c>
    </row>
    <row r="43">
      <c r="A43" s="4">
        <f t="shared" si="5"/>
        <v>42</v>
      </c>
      <c r="B43" s="4" t="s">
        <v>38</v>
      </c>
      <c r="C43" s="4" t="s">
        <v>38</v>
      </c>
      <c r="D43" s="4" t="s">
        <v>8</v>
      </c>
      <c r="E43" s="4" t="s">
        <v>77</v>
      </c>
      <c r="F43" s="5">
        <v>1.2</v>
      </c>
      <c r="G43" s="10">
        <v>2.0</v>
      </c>
      <c r="H43" s="7"/>
      <c r="I43" s="7"/>
      <c r="J43" s="7"/>
      <c r="K43" s="7"/>
      <c r="L43" s="7"/>
      <c r="M43" s="7"/>
      <c r="N43" s="7"/>
      <c r="O43" s="7"/>
      <c r="P43" s="7"/>
      <c r="Q43" s="7"/>
      <c r="U43" s="8">
        <f t="shared" si="1"/>
        <v>1.2</v>
      </c>
      <c r="V43" s="8">
        <f t="shared" si="2"/>
        <v>62</v>
      </c>
      <c r="W43" s="8" t="str">
        <f t="shared" si="3"/>
        <v/>
      </c>
      <c r="X43" s="8" t="str">
        <f t="shared" si="4"/>
        <v>#N/A</v>
      </c>
    </row>
    <row r="44">
      <c r="A44" s="4">
        <f t="shared" si="5"/>
        <v>43</v>
      </c>
      <c r="B44" s="4" t="s">
        <v>12</v>
      </c>
      <c r="C44" s="4" t="s">
        <v>38</v>
      </c>
      <c r="D44" s="4" t="s">
        <v>8</v>
      </c>
      <c r="E44" s="4" t="s">
        <v>78</v>
      </c>
      <c r="F44" s="5">
        <v>2.9</v>
      </c>
      <c r="G44" s="10">
        <v>1.0</v>
      </c>
      <c r="H44" s="11"/>
      <c r="I44" s="11"/>
      <c r="J44" s="7"/>
      <c r="K44" s="11"/>
      <c r="L44" s="7"/>
      <c r="M44" s="7"/>
      <c r="N44" s="7"/>
      <c r="O44" s="7"/>
      <c r="P44" s="7"/>
      <c r="Q44" s="7"/>
      <c r="U44" s="8">
        <f t="shared" si="1"/>
        <v>2.9</v>
      </c>
      <c r="V44" s="8">
        <f t="shared" si="2"/>
        <v>28</v>
      </c>
      <c r="W44" s="8" t="str">
        <f t="shared" si="3"/>
        <v/>
      </c>
      <c r="X44" s="8" t="str">
        <f t="shared" si="4"/>
        <v>#N/A</v>
      </c>
    </row>
    <row r="45">
      <c r="A45" s="4">
        <f t="shared" si="5"/>
        <v>44</v>
      </c>
      <c r="B45" s="4" t="s">
        <v>21</v>
      </c>
      <c r="C45" s="4" t="s">
        <v>13</v>
      </c>
      <c r="D45" s="4" t="s">
        <v>8</v>
      </c>
      <c r="E45" s="4" t="s">
        <v>79</v>
      </c>
      <c r="F45" s="5">
        <v>3.0</v>
      </c>
      <c r="G45" s="10">
        <v>1.0</v>
      </c>
      <c r="H45" s="4"/>
      <c r="J45" s="7"/>
      <c r="K45" s="7"/>
      <c r="L45" s="7"/>
      <c r="M45" s="7"/>
      <c r="N45" s="7"/>
      <c r="O45" s="7"/>
      <c r="P45" s="7"/>
      <c r="Q45" s="7"/>
      <c r="U45" s="8">
        <f t="shared" si="1"/>
        <v>3</v>
      </c>
      <c r="V45" s="8">
        <f t="shared" si="2"/>
        <v>24</v>
      </c>
      <c r="W45" s="8" t="str">
        <f t="shared" si="3"/>
        <v/>
      </c>
      <c r="X45" s="8" t="str">
        <f t="shared" si="4"/>
        <v>#N/A</v>
      </c>
    </row>
    <row r="46">
      <c r="A46" s="4">
        <f t="shared" si="5"/>
        <v>45</v>
      </c>
      <c r="B46" s="4" t="s">
        <v>25</v>
      </c>
      <c r="C46" s="4" t="s">
        <v>21</v>
      </c>
      <c r="D46" s="4" t="s">
        <v>8</v>
      </c>
      <c r="E46" s="4" t="s">
        <v>80</v>
      </c>
      <c r="F46" s="5">
        <v>1.8</v>
      </c>
      <c r="G46" s="10">
        <v>1.0</v>
      </c>
      <c r="H46" s="7"/>
      <c r="I46" s="7"/>
      <c r="J46" s="7"/>
      <c r="K46" s="11"/>
      <c r="L46" s="11"/>
      <c r="M46" s="7"/>
      <c r="N46" s="7"/>
      <c r="O46" s="7"/>
      <c r="P46" s="7"/>
      <c r="Q46" s="7"/>
      <c r="U46" s="8">
        <f t="shared" si="1"/>
        <v>1.8</v>
      </c>
      <c r="V46" s="8">
        <f t="shared" si="2"/>
        <v>47</v>
      </c>
      <c r="W46" s="8" t="str">
        <f t="shared" si="3"/>
        <v/>
      </c>
      <c r="X46" s="8" t="str">
        <f t="shared" si="4"/>
        <v>#N/A</v>
      </c>
    </row>
    <row r="47">
      <c r="A47" s="4">
        <f t="shared" si="5"/>
        <v>46</v>
      </c>
      <c r="B47" s="4" t="s">
        <v>23</v>
      </c>
      <c r="C47" s="4" t="s">
        <v>13</v>
      </c>
      <c r="D47" s="4" t="s">
        <v>8</v>
      </c>
      <c r="E47" s="4" t="s">
        <v>81</v>
      </c>
      <c r="F47" s="5">
        <v>2.3</v>
      </c>
      <c r="G47" s="10">
        <v>1.0</v>
      </c>
      <c r="H47" s="7"/>
      <c r="I47" s="7"/>
      <c r="J47" s="7"/>
      <c r="K47" s="7"/>
      <c r="L47" s="7"/>
      <c r="M47" s="7"/>
      <c r="N47" s="7"/>
      <c r="O47" s="7"/>
      <c r="P47" s="7"/>
      <c r="Q47" s="7"/>
      <c r="U47" s="8">
        <f t="shared" si="1"/>
        <v>2.3</v>
      </c>
      <c r="V47" s="8">
        <f t="shared" si="2"/>
        <v>34</v>
      </c>
      <c r="W47" s="8" t="str">
        <f t="shared" si="3"/>
        <v/>
      </c>
      <c r="X47" s="8" t="str">
        <f t="shared" si="4"/>
        <v>#N/A</v>
      </c>
    </row>
    <row r="48">
      <c r="A48" s="4">
        <f t="shared" si="5"/>
        <v>47</v>
      </c>
      <c r="B48" s="4" t="s">
        <v>13</v>
      </c>
      <c r="C48" s="4" t="s">
        <v>12</v>
      </c>
      <c r="D48" s="4" t="s">
        <v>8</v>
      </c>
      <c r="E48" s="4" t="s">
        <v>82</v>
      </c>
      <c r="F48" s="5">
        <v>3.0</v>
      </c>
      <c r="G48" s="10">
        <v>1.0</v>
      </c>
      <c r="H48" s="7"/>
      <c r="I48" s="7"/>
      <c r="J48" s="7"/>
      <c r="K48" s="7"/>
      <c r="L48" s="7"/>
      <c r="M48" s="7"/>
      <c r="N48" s="7"/>
      <c r="O48" s="7"/>
      <c r="P48" s="7"/>
      <c r="Q48" s="7"/>
      <c r="U48" s="8">
        <f t="shared" si="1"/>
        <v>3</v>
      </c>
      <c r="V48" s="8">
        <f t="shared" si="2"/>
        <v>24</v>
      </c>
      <c r="W48" s="8" t="str">
        <f t="shared" si="3"/>
        <v/>
      </c>
      <c r="X48" s="8" t="str">
        <f t="shared" si="4"/>
        <v>#N/A</v>
      </c>
    </row>
    <row r="49">
      <c r="A49" s="4">
        <f t="shared" si="5"/>
        <v>48</v>
      </c>
      <c r="B49" s="4" t="s">
        <v>33</v>
      </c>
      <c r="C49" s="4" t="s">
        <v>48</v>
      </c>
      <c r="D49" s="4" t="s">
        <v>8</v>
      </c>
      <c r="E49" s="4" t="s">
        <v>83</v>
      </c>
      <c r="F49" s="5">
        <v>6.0</v>
      </c>
      <c r="G49" s="10">
        <v>1.0</v>
      </c>
      <c r="H49" s="4"/>
      <c r="L49" s="7"/>
      <c r="M49" s="7"/>
      <c r="N49" s="7"/>
      <c r="O49" s="7"/>
      <c r="P49" s="7"/>
      <c r="Q49" s="7"/>
      <c r="U49" s="8">
        <f t="shared" si="1"/>
        <v>6</v>
      </c>
      <c r="V49" s="8">
        <f t="shared" si="2"/>
        <v>7</v>
      </c>
      <c r="W49" s="8" t="str">
        <f t="shared" si="3"/>
        <v/>
      </c>
      <c r="X49" s="8" t="str">
        <f t="shared" si="4"/>
        <v>#N/A</v>
      </c>
    </row>
    <row r="50">
      <c r="A50" s="4">
        <f t="shared" si="5"/>
        <v>49</v>
      </c>
      <c r="B50" s="4" t="s">
        <v>37</v>
      </c>
      <c r="C50" s="4" t="s">
        <v>33</v>
      </c>
      <c r="D50" s="4" t="s">
        <v>8</v>
      </c>
      <c r="E50" s="4" t="s">
        <v>84</v>
      </c>
      <c r="F50" s="5">
        <v>3.0</v>
      </c>
      <c r="G50" s="10">
        <v>1.0</v>
      </c>
      <c r="H50" s="7"/>
      <c r="I50" s="7"/>
      <c r="J50" s="7"/>
      <c r="K50" s="7"/>
      <c r="L50" s="7"/>
      <c r="M50" s="7"/>
      <c r="N50" s="7"/>
      <c r="O50" s="7"/>
      <c r="P50" s="7"/>
      <c r="Q50" s="7"/>
      <c r="U50" s="8">
        <f t="shared" si="1"/>
        <v>3</v>
      </c>
      <c r="V50" s="8">
        <f t="shared" si="2"/>
        <v>24</v>
      </c>
      <c r="W50" s="8" t="str">
        <f t="shared" si="3"/>
        <v/>
      </c>
      <c r="X50" s="8" t="str">
        <f t="shared" si="4"/>
        <v>#N/A</v>
      </c>
    </row>
    <row r="51">
      <c r="A51" s="4">
        <f t="shared" si="5"/>
        <v>50</v>
      </c>
      <c r="B51" s="4" t="s">
        <v>27</v>
      </c>
      <c r="C51" s="4" t="s">
        <v>37</v>
      </c>
      <c r="D51" s="4" t="s">
        <v>8</v>
      </c>
      <c r="E51" s="4" t="s">
        <v>85</v>
      </c>
      <c r="F51" s="5">
        <v>4.0</v>
      </c>
      <c r="G51" s="10">
        <v>1.0</v>
      </c>
      <c r="H51" s="7"/>
      <c r="I51" s="7"/>
      <c r="J51" s="7"/>
      <c r="K51" s="7"/>
      <c r="L51" s="7"/>
      <c r="M51" s="7"/>
      <c r="N51" s="7"/>
      <c r="O51" s="7"/>
      <c r="P51" s="7"/>
      <c r="Q51" s="7"/>
      <c r="U51" s="8">
        <f t="shared" si="1"/>
        <v>4</v>
      </c>
      <c r="V51" s="8">
        <f t="shared" si="2"/>
        <v>16</v>
      </c>
      <c r="W51" s="8" t="str">
        <f t="shared" si="3"/>
        <v/>
      </c>
      <c r="X51" s="8" t="str">
        <f t="shared" si="4"/>
        <v>#N/A</v>
      </c>
    </row>
    <row r="52">
      <c r="A52" s="4">
        <f t="shared" si="5"/>
        <v>51</v>
      </c>
      <c r="B52" s="4" t="s">
        <v>19</v>
      </c>
      <c r="C52" s="4" t="s">
        <v>21</v>
      </c>
      <c r="D52" s="4" t="s">
        <v>8</v>
      </c>
      <c r="E52" s="4" t="s">
        <v>86</v>
      </c>
      <c r="F52" s="5">
        <v>1.5</v>
      </c>
      <c r="G52" s="10">
        <v>1.0</v>
      </c>
      <c r="H52" s="7"/>
      <c r="I52" s="7"/>
      <c r="J52" s="7"/>
      <c r="K52" s="7"/>
      <c r="L52" s="7"/>
      <c r="M52" s="7"/>
      <c r="N52" s="7"/>
      <c r="O52" s="7"/>
      <c r="P52" s="7"/>
      <c r="Q52" s="7"/>
      <c r="U52" s="8">
        <f t="shared" si="1"/>
        <v>1.5</v>
      </c>
      <c r="V52" s="8">
        <f t="shared" si="2"/>
        <v>54</v>
      </c>
      <c r="W52" s="8" t="str">
        <f t="shared" si="3"/>
        <v/>
      </c>
      <c r="X52" s="8" t="str">
        <f t="shared" si="4"/>
        <v>#N/A</v>
      </c>
    </row>
    <row r="53">
      <c r="A53" s="4">
        <f t="shared" si="5"/>
        <v>52</v>
      </c>
      <c r="B53" s="4" t="s">
        <v>48</v>
      </c>
      <c r="C53" s="4" t="s">
        <v>19</v>
      </c>
      <c r="D53" s="4" t="s">
        <v>8</v>
      </c>
      <c r="E53" s="4" t="s">
        <v>87</v>
      </c>
      <c r="F53" s="5">
        <v>4.6</v>
      </c>
      <c r="G53" s="10">
        <v>2.0</v>
      </c>
      <c r="H53" s="7"/>
      <c r="I53" s="7"/>
      <c r="J53" s="7"/>
      <c r="K53" s="7"/>
      <c r="L53" s="7"/>
      <c r="M53" s="7"/>
      <c r="N53" s="7"/>
      <c r="O53" s="7"/>
      <c r="P53" s="7"/>
      <c r="Q53" s="7"/>
      <c r="U53" s="8">
        <f t="shared" si="1"/>
        <v>4.6</v>
      </c>
      <c r="V53" s="8">
        <f t="shared" si="2"/>
        <v>15</v>
      </c>
      <c r="W53" s="8" t="str">
        <f t="shared" si="3"/>
        <v/>
      </c>
      <c r="X53" s="8" t="str">
        <f t="shared" si="4"/>
        <v>#N/A</v>
      </c>
    </row>
    <row r="54">
      <c r="A54" s="4">
        <f t="shared" si="5"/>
        <v>53</v>
      </c>
      <c r="B54" s="4" t="s">
        <v>38</v>
      </c>
      <c r="C54" s="4" t="s">
        <v>13</v>
      </c>
      <c r="D54" s="4" t="s">
        <v>8</v>
      </c>
      <c r="E54" s="4" t="s">
        <v>88</v>
      </c>
      <c r="F54" s="5">
        <v>4.7</v>
      </c>
      <c r="G54" s="10">
        <v>1.0</v>
      </c>
      <c r="H54" s="7"/>
      <c r="I54" s="7"/>
      <c r="J54" s="7"/>
      <c r="K54" s="7"/>
      <c r="L54" s="7"/>
      <c r="M54" s="7"/>
      <c r="N54" s="7"/>
      <c r="O54" s="7"/>
      <c r="P54" s="7"/>
      <c r="Q54" s="7"/>
      <c r="U54" s="8">
        <f t="shared" si="1"/>
        <v>4.7</v>
      </c>
      <c r="V54" s="8">
        <f t="shared" si="2"/>
        <v>14</v>
      </c>
      <c r="W54" s="8" t="str">
        <f t="shared" si="3"/>
        <v/>
      </c>
      <c r="X54" s="8" t="str">
        <f t="shared" si="4"/>
        <v>#N/A</v>
      </c>
    </row>
    <row r="55">
      <c r="A55" s="4">
        <f t="shared" si="5"/>
        <v>54</v>
      </c>
      <c r="B55" s="4" t="s">
        <v>12</v>
      </c>
      <c r="C55" s="4" t="s">
        <v>21</v>
      </c>
      <c r="D55" s="4" t="s">
        <v>8</v>
      </c>
      <c r="E55" s="4" t="s">
        <v>89</v>
      </c>
      <c r="F55" s="5">
        <v>3.1</v>
      </c>
      <c r="G55" s="10">
        <v>1.0</v>
      </c>
      <c r="H55" s="7"/>
      <c r="I55" s="7"/>
      <c r="J55" s="7"/>
      <c r="K55" s="7"/>
      <c r="L55" s="7"/>
      <c r="M55" s="7"/>
      <c r="N55" s="7"/>
      <c r="O55" s="7"/>
      <c r="P55" s="7"/>
      <c r="Q55" s="7"/>
      <c r="U55" s="8">
        <f t="shared" si="1"/>
        <v>3.1</v>
      </c>
      <c r="V55" s="8">
        <f t="shared" si="2"/>
        <v>22</v>
      </c>
      <c r="W55" s="8" t="str">
        <f t="shared" si="3"/>
        <v/>
      </c>
      <c r="X55" s="8" t="str">
        <f t="shared" si="4"/>
        <v>#N/A</v>
      </c>
    </row>
    <row r="56">
      <c r="A56" s="4">
        <f t="shared" si="5"/>
        <v>55</v>
      </c>
      <c r="B56" s="4" t="s">
        <v>21</v>
      </c>
      <c r="C56" s="4" t="s">
        <v>48</v>
      </c>
      <c r="D56" s="4" t="s">
        <v>8</v>
      </c>
      <c r="E56" s="4" t="s">
        <v>90</v>
      </c>
      <c r="F56" s="5">
        <v>4.8</v>
      </c>
      <c r="G56" s="10">
        <v>1.0</v>
      </c>
      <c r="H56" s="7"/>
      <c r="I56" s="7"/>
      <c r="J56" s="7"/>
      <c r="K56" s="7"/>
      <c r="L56" s="7"/>
      <c r="M56" s="7"/>
      <c r="N56" s="7"/>
      <c r="O56" s="7"/>
      <c r="P56" s="7"/>
      <c r="Q56" s="7"/>
      <c r="U56" s="8">
        <f t="shared" si="1"/>
        <v>4.8</v>
      </c>
      <c r="V56" s="8">
        <f t="shared" si="2"/>
        <v>13</v>
      </c>
      <c r="W56" s="8" t="str">
        <f t="shared" si="3"/>
        <v/>
      </c>
      <c r="X56" s="8" t="str">
        <f t="shared" si="4"/>
        <v>#N/A</v>
      </c>
    </row>
    <row r="57">
      <c r="A57" s="4">
        <f t="shared" si="5"/>
        <v>56</v>
      </c>
      <c r="B57" s="4" t="s">
        <v>25</v>
      </c>
      <c r="C57" s="4" t="s">
        <v>33</v>
      </c>
      <c r="D57" s="4" t="s">
        <v>8</v>
      </c>
      <c r="E57" s="4" t="s">
        <v>91</v>
      </c>
      <c r="F57" s="5">
        <v>1.8</v>
      </c>
      <c r="G57" s="10">
        <v>1.0</v>
      </c>
      <c r="H57" s="7"/>
      <c r="I57" s="7"/>
      <c r="J57" s="7"/>
      <c r="K57" s="7"/>
      <c r="L57" s="7"/>
      <c r="M57" s="7"/>
      <c r="N57" s="7"/>
      <c r="O57" s="7"/>
      <c r="P57" s="7"/>
      <c r="Q57" s="7"/>
      <c r="U57" s="8">
        <f t="shared" si="1"/>
        <v>1.8</v>
      </c>
      <c r="V57" s="8">
        <f t="shared" si="2"/>
        <v>47</v>
      </c>
      <c r="W57" s="8" t="str">
        <f t="shared" si="3"/>
        <v/>
      </c>
      <c r="X57" s="8" t="str">
        <f t="shared" si="4"/>
        <v>#N/A</v>
      </c>
    </row>
    <row r="58">
      <c r="A58" s="4">
        <f t="shared" si="5"/>
        <v>57</v>
      </c>
      <c r="B58" s="4" t="s">
        <v>23</v>
      </c>
      <c r="C58" s="4" t="s">
        <v>23</v>
      </c>
      <c r="D58" s="4" t="s">
        <v>8</v>
      </c>
      <c r="E58" s="4" t="s">
        <v>92</v>
      </c>
      <c r="F58" s="5">
        <v>2.0</v>
      </c>
      <c r="G58" s="10">
        <v>1.0</v>
      </c>
      <c r="H58" s="7"/>
      <c r="I58" s="7"/>
      <c r="J58" s="7"/>
      <c r="K58" s="7"/>
      <c r="L58" s="7"/>
      <c r="M58" s="7"/>
      <c r="N58" s="7"/>
      <c r="O58" s="7"/>
      <c r="P58" s="7"/>
      <c r="Q58" s="7"/>
      <c r="U58" s="8">
        <f t="shared" si="1"/>
        <v>2</v>
      </c>
      <c r="V58" s="8">
        <f t="shared" si="2"/>
        <v>40</v>
      </c>
      <c r="W58" s="8" t="str">
        <f t="shared" si="3"/>
        <v/>
      </c>
      <c r="X58" s="8" t="str">
        <f t="shared" si="4"/>
        <v>#N/A</v>
      </c>
    </row>
    <row r="59">
      <c r="A59" s="4">
        <f t="shared" si="5"/>
        <v>58</v>
      </c>
      <c r="B59" s="4" t="s">
        <v>13</v>
      </c>
      <c r="C59" s="4" t="s">
        <v>13</v>
      </c>
      <c r="D59" s="4" t="s">
        <v>8</v>
      </c>
      <c r="E59" s="4" t="s">
        <v>93</v>
      </c>
      <c r="F59" s="5">
        <v>0.9</v>
      </c>
      <c r="G59" s="10">
        <v>1.0</v>
      </c>
      <c r="H59" s="7"/>
      <c r="I59" s="7"/>
      <c r="J59" s="7"/>
      <c r="K59" s="7"/>
      <c r="L59" s="7"/>
      <c r="M59" s="7"/>
      <c r="N59" s="7"/>
      <c r="O59" s="7"/>
      <c r="P59" s="7"/>
      <c r="Q59" s="7"/>
      <c r="U59" s="8">
        <f t="shared" si="1"/>
        <v>0.9</v>
      </c>
      <c r="V59" s="8">
        <f t="shared" si="2"/>
        <v>80</v>
      </c>
      <c r="W59" s="8" t="str">
        <f t="shared" si="3"/>
        <v/>
      </c>
      <c r="X59" s="8" t="str">
        <f t="shared" si="4"/>
        <v>#N/A</v>
      </c>
    </row>
    <row r="60">
      <c r="A60" s="4">
        <f t="shared" si="5"/>
        <v>59</v>
      </c>
      <c r="B60" s="4" t="s">
        <v>33</v>
      </c>
      <c r="C60" s="4" t="s">
        <v>19</v>
      </c>
      <c r="D60" s="4" t="s">
        <v>8</v>
      </c>
      <c r="E60" s="4" t="s">
        <v>94</v>
      </c>
      <c r="F60" s="5">
        <v>1.2</v>
      </c>
      <c r="G60" s="10">
        <v>1.0</v>
      </c>
      <c r="H60" s="7"/>
      <c r="I60" s="7"/>
      <c r="J60" s="7"/>
      <c r="K60" s="7"/>
      <c r="L60" s="7"/>
      <c r="M60" s="7"/>
      <c r="N60" s="7"/>
      <c r="O60" s="7"/>
      <c r="P60" s="7"/>
      <c r="Q60" s="7"/>
      <c r="U60" s="8">
        <f t="shared" si="1"/>
        <v>1.2</v>
      </c>
      <c r="V60" s="8">
        <f t="shared" si="2"/>
        <v>62</v>
      </c>
      <c r="W60" s="8" t="str">
        <f t="shared" si="3"/>
        <v/>
      </c>
      <c r="X60" s="8" t="str">
        <f t="shared" si="4"/>
        <v>#N/A</v>
      </c>
    </row>
    <row r="61">
      <c r="A61" s="4">
        <f t="shared" si="5"/>
        <v>60</v>
      </c>
      <c r="B61" s="4" t="s">
        <v>37</v>
      </c>
      <c r="C61" s="4" t="s">
        <v>25</v>
      </c>
      <c r="D61" s="4" t="s">
        <v>8</v>
      </c>
      <c r="E61" s="4" t="s">
        <v>95</v>
      </c>
      <c r="F61" s="5">
        <v>3.0</v>
      </c>
      <c r="G61" s="10">
        <v>1.0</v>
      </c>
      <c r="H61" s="7"/>
      <c r="I61" s="7"/>
      <c r="J61" s="7"/>
      <c r="K61" s="7"/>
      <c r="L61" s="7"/>
      <c r="M61" s="7"/>
      <c r="N61" s="7"/>
      <c r="O61" s="7"/>
      <c r="P61" s="7"/>
      <c r="Q61" s="7"/>
      <c r="U61" s="8">
        <f t="shared" si="1"/>
        <v>3</v>
      </c>
      <c r="V61" s="8">
        <f t="shared" si="2"/>
        <v>24</v>
      </c>
      <c r="W61" s="8" t="str">
        <f t="shared" si="3"/>
        <v/>
      </c>
      <c r="X61" s="8" t="str">
        <f t="shared" si="4"/>
        <v>#N/A</v>
      </c>
    </row>
    <row r="62">
      <c r="A62" s="4">
        <f t="shared" si="5"/>
        <v>61</v>
      </c>
      <c r="B62" s="4" t="s">
        <v>27</v>
      </c>
      <c r="C62" s="4" t="s">
        <v>23</v>
      </c>
      <c r="D62" s="4" t="s">
        <v>8</v>
      </c>
      <c r="E62" s="4" t="s">
        <v>96</v>
      </c>
      <c r="F62" s="5">
        <v>1.9</v>
      </c>
      <c r="G62" s="10">
        <v>1.0</v>
      </c>
      <c r="H62" s="7"/>
      <c r="I62" s="7"/>
      <c r="J62" s="7"/>
      <c r="K62" s="7"/>
      <c r="L62" s="7"/>
      <c r="M62" s="7"/>
      <c r="N62" s="7"/>
      <c r="O62" s="7"/>
      <c r="P62" s="7"/>
      <c r="Q62" s="7"/>
      <c r="U62" s="8">
        <f t="shared" si="1"/>
        <v>1.9</v>
      </c>
      <c r="V62" s="8">
        <f t="shared" si="2"/>
        <v>44</v>
      </c>
      <c r="W62" s="8" t="str">
        <f t="shared" si="3"/>
        <v/>
      </c>
      <c r="X62" s="8" t="str">
        <f t="shared" si="4"/>
        <v>#N/A</v>
      </c>
    </row>
    <row r="63">
      <c r="A63" s="4">
        <f t="shared" si="5"/>
        <v>62</v>
      </c>
      <c r="B63" s="4" t="s">
        <v>19</v>
      </c>
      <c r="C63" s="4" t="s">
        <v>38</v>
      </c>
      <c r="D63" s="4" t="s">
        <v>8</v>
      </c>
      <c r="E63" s="4" t="s">
        <v>97</v>
      </c>
      <c r="F63" s="5">
        <v>1.2</v>
      </c>
      <c r="G63" s="10">
        <v>1.0</v>
      </c>
      <c r="H63" s="7"/>
      <c r="I63" s="7"/>
      <c r="J63" s="7"/>
      <c r="K63" s="7"/>
      <c r="L63" s="7"/>
      <c r="M63" s="7"/>
      <c r="N63" s="7"/>
      <c r="O63" s="7"/>
      <c r="P63" s="7"/>
      <c r="Q63" s="7"/>
      <c r="U63" s="8">
        <f t="shared" si="1"/>
        <v>1.2</v>
      </c>
      <c r="V63" s="8">
        <f t="shared" si="2"/>
        <v>62</v>
      </c>
      <c r="W63" s="8" t="str">
        <f t="shared" si="3"/>
        <v/>
      </c>
      <c r="X63" s="8" t="str">
        <f t="shared" si="4"/>
        <v>#N/A</v>
      </c>
    </row>
    <row r="64">
      <c r="A64" s="4">
        <f t="shared" si="5"/>
        <v>63</v>
      </c>
      <c r="B64" s="4" t="s">
        <v>48</v>
      </c>
      <c r="C64" s="4" t="s">
        <v>23</v>
      </c>
      <c r="D64" s="4" t="s">
        <v>8</v>
      </c>
      <c r="E64" s="4" t="s">
        <v>98</v>
      </c>
      <c r="F64" s="5">
        <v>3.4</v>
      </c>
      <c r="G64" s="10">
        <v>1.0</v>
      </c>
      <c r="H64" s="7"/>
      <c r="I64" s="7"/>
      <c r="J64" s="7"/>
      <c r="K64" s="7"/>
      <c r="L64" s="7"/>
      <c r="M64" s="7"/>
      <c r="N64" s="7"/>
      <c r="O64" s="7"/>
      <c r="P64" s="7"/>
      <c r="Q64" s="7"/>
      <c r="U64" s="8">
        <f t="shared" si="1"/>
        <v>3.4</v>
      </c>
      <c r="V64" s="8">
        <f t="shared" si="2"/>
        <v>19</v>
      </c>
      <c r="W64" s="8" t="str">
        <f t="shared" si="3"/>
        <v/>
      </c>
      <c r="X64" s="8" t="str">
        <f t="shared" si="4"/>
        <v>#N/A</v>
      </c>
    </row>
    <row r="65">
      <c r="A65" s="4">
        <f t="shared" si="5"/>
        <v>64</v>
      </c>
      <c r="B65" s="4" t="s">
        <v>38</v>
      </c>
      <c r="C65" s="4" t="s">
        <v>38</v>
      </c>
      <c r="D65" s="4" t="s">
        <v>8</v>
      </c>
      <c r="E65" s="4" t="s">
        <v>99</v>
      </c>
      <c r="F65" s="5">
        <v>2.5</v>
      </c>
      <c r="G65" s="10">
        <v>1.0</v>
      </c>
      <c r="H65" s="7"/>
      <c r="I65" s="7"/>
      <c r="J65" s="7"/>
      <c r="K65" s="7"/>
      <c r="L65" s="7"/>
      <c r="M65" s="7"/>
      <c r="N65" s="7"/>
      <c r="O65" s="7"/>
      <c r="P65" s="7"/>
      <c r="Q65" s="7"/>
      <c r="U65" s="8">
        <f t="shared" si="1"/>
        <v>2.5</v>
      </c>
      <c r="V65" s="8">
        <f t="shared" si="2"/>
        <v>30</v>
      </c>
      <c r="W65" s="8" t="str">
        <f t="shared" si="3"/>
        <v/>
      </c>
      <c r="X65" s="8" t="str">
        <f t="shared" si="4"/>
        <v>#N/A</v>
      </c>
    </row>
    <row r="66">
      <c r="A66" s="4">
        <f t="shared" si="5"/>
        <v>65</v>
      </c>
      <c r="B66" s="4" t="s">
        <v>12</v>
      </c>
      <c r="C66" s="4" t="s">
        <v>27</v>
      </c>
      <c r="D66" s="4" t="s">
        <v>8</v>
      </c>
      <c r="E66" s="4" t="s">
        <v>100</v>
      </c>
      <c r="F66" s="5">
        <v>1.1</v>
      </c>
      <c r="G66" s="10">
        <v>1.0</v>
      </c>
      <c r="H66" s="7"/>
      <c r="I66" s="12"/>
      <c r="J66" s="7"/>
      <c r="K66" s="7"/>
      <c r="L66" s="7"/>
      <c r="M66" s="7"/>
      <c r="N66" s="7"/>
      <c r="O66" s="7"/>
      <c r="P66" s="7"/>
      <c r="Q66" s="7"/>
      <c r="U66" s="8">
        <f t="shared" si="1"/>
        <v>1.1</v>
      </c>
      <c r="V66" s="8">
        <f t="shared" si="2"/>
        <v>67</v>
      </c>
      <c r="W66" s="8" t="str">
        <f t="shared" si="3"/>
        <v/>
      </c>
      <c r="X66" s="8" t="str">
        <f t="shared" si="4"/>
        <v>#N/A</v>
      </c>
    </row>
    <row r="67">
      <c r="A67" s="4">
        <f t="shared" si="5"/>
        <v>66</v>
      </c>
      <c r="B67" s="4" t="s">
        <v>21</v>
      </c>
      <c r="C67" s="4" t="s">
        <v>23</v>
      </c>
      <c r="D67" s="4" t="s">
        <v>8</v>
      </c>
      <c r="E67" s="4" t="s">
        <v>101</v>
      </c>
      <c r="F67" s="5">
        <v>4.0</v>
      </c>
      <c r="G67" s="10">
        <v>1.0</v>
      </c>
      <c r="H67" s="7"/>
      <c r="I67" s="7"/>
      <c r="J67" s="7"/>
      <c r="K67" s="7"/>
      <c r="L67" s="7"/>
      <c r="M67" s="7"/>
      <c r="N67" s="7"/>
      <c r="O67" s="7"/>
      <c r="P67" s="7"/>
      <c r="Q67" s="7"/>
      <c r="U67" s="8">
        <f t="shared" si="1"/>
        <v>4</v>
      </c>
      <c r="V67" s="8">
        <f t="shared" si="2"/>
        <v>16</v>
      </c>
      <c r="W67" s="8" t="str">
        <f t="shared" si="3"/>
        <v/>
      </c>
      <c r="X67" s="8" t="str">
        <f t="shared" si="4"/>
        <v>#N/A</v>
      </c>
    </row>
    <row r="68">
      <c r="A68" s="4">
        <f t="shared" si="5"/>
        <v>67</v>
      </c>
      <c r="B68" s="4" t="s">
        <v>25</v>
      </c>
      <c r="C68" s="4" t="s">
        <v>21</v>
      </c>
      <c r="D68" s="4" t="s">
        <v>8</v>
      </c>
      <c r="E68" s="4" t="s">
        <v>102</v>
      </c>
      <c r="F68" s="5">
        <v>1.0</v>
      </c>
      <c r="G68" s="10">
        <v>1.0</v>
      </c>
      <c r="H68" s="7"/>
      <c r="I68" s="7"/>
      <c r="J68" s="7"/>
      <c r="K68" s="7"/>
      <c r="L68" s="7"/>
      <c r="M68" s="7"/>
      <c r="N68" s="7"/>
      <c r="O68" s="7"/>
      <c r="P68" s="7"/>
      <c r="Q68" s="7"/>
      <c r="U68" s="8">
        <f t="shared" si="1"/>
        <v>1</v>
      </c>
      <c r="V68" s="8">
        <f t="shared" si="2"/>
        <v>71</v>
      </c>
      <c r="W68" s="8" t="str">
        <f t="shared" si="3"/>
        <v/>
      </c>
      <c r="X68" s="8" t="str">
        <f t="shared" si="4"/>
        <v>#N/A</v>
      </c>
    </row>
    <row r="69">
      <c r="A69" s="4">
        <f t="shared" si="5"/>
        <v>68</v>
      </c>
      <c r="B69" s="4" t="s">
        <v>23</v>
      </c>
      <c r="C69" s="4" t="s">
        <v>23</v>
      </c>
      <c r="D69" s="4" t="s">
        <v>8</v>
      </c>
      <c r="E69" s="4" t="s">
        <v>103</v>
      </c>
      <c r="F69" s="5">
        <v>2.0</v>
      </c>
      <c r="G69" s="10">
        <v>1.0</v>
      </c>
      <c r="H69" s="7"/>
      <c r="I69" s="7"/>
      <c r="J69" s="7"/>
      <c r="K69" s="7"/>
      <c r="L69" s="7"/>
      <c r="M69" s="7"/>
      <c r="N69" s="7"/>
      <c r="O69" s="7"/>
      <c r="P69" s="7"/>
      <c r="Q69" s="7"/>
      <c r="U69" s="8">
        <f t="shared" si="1"/>
        <v>2</v>
      </c>
      <c r="V69" s="8">
        <f t="shared" si="2"/>
        <v>40</v>
      </c>
      <c r="W69" s="8" t="str">
        <f t="shared" si="3"/>
        <v/>
      </c>
      <c r="X69" s="8" t="str">
        <f t="shared" si="4"/>
        <v>#N/A</v>
      </c>
    </row>
    <row r="70">
      <c r="A70" s="4">
        <f t="shared" si="5"/>
        <v>69</v>
      </c>
      <c r="B70" s="4" t="s">
        <v>13</v>
      </c>
      <c r="C70" s="4" t="s">
        <v>13</v>
      </c>
      <c r="D70" s="4" t="s">
        <v>8</v>
      </c>
      <c r="E70" s="4" t="s">
        <v>104</v>
      </c>
      <c r="F70" s="5">
        <v>0.8</v>
      </c>
      <c r="G70" s="10">
        <v>1.0</v>
      </c>
      <c r="H70" s="7"/>
      <c r="I70" s="7"/>
      <c r="J70" s="7"/>
      <c r="K70" s="7"/>
      <c r="L70" s="7"/>
      <c r="M70" s="7"/>
      <c r="N70" s="7"/>
      <c r="O70" s="7"/>
      <c r="P70" s="7"/>
      <c r="Q70" s="7"/>
      <c r="U70" s="8">
        <f t="shared" si="1"/>
        <v>0.8</v>
      </c>
      <c r="V70" s="8">
        <f t="shared" si="2"/>
        <v>88</v>
      </c>
      <c r="W70" s="8" t="str">
        <f t="shared" si="3"/>
        <v/>
      </c>
      <c r="X70" s="8" t="str">
        <f t="shared" si="4"/>
        <v>#N/A</v>
      </c>
    </row>
    <row r="71">
      <c r="A71" s="4">
        <f t="shared" si="5"/>
        <v>70</v>
      </c>
      <c r="B71" s="4" t="s">
        <v>33</v>
      </c>
      <c r="C71" s="4" t="s">
        <v>33</v>
      </c>
      <c r="D71" s="4" t="s">
        <v>8</v>
      </c>
      <c r="E71" s="4" t="s">
        <v>105</v>
      </c>
      <c r="F71" s="5">
        <v>1.5</v>
      </c>
      <c r="G71" s="10">
        <v>1.0</v>
      </c>
      <c r="H71" s="7"/>
      <c r="I71" s="7"/>
      <c r="J71" s="7"/>
      <c r="K71" s="7"/>
      <c r="L71" s="7"/>
      <c r="M71" s="7"/>
      <c r="N71" s="7"/>
      <c r="O71" s="7"/>
      <c r="P71" s="7"/>
      <c r="Q71" s="7"/>
      <c r="U71" s="8">
        <f t="shared" si="1"/>
        <v>1.5</v>
      </c>
      <c r="V71" s="8">
        <f t="shared" si="2"/>
        <v>54</v>
      </c>
      <c r="W71" s="8" t="str">
        <f t="shared" si="3"/>
        <v/>
      </c>
      <c r="X71" s="8" t="str">
        <f t="shared" si="4"/>
        <v>#N/A</v>
      </c>
    </row>
    <row r="72">
      <c r="A72" s="4">
        <f t="shared" si="5"/>
        <v>71</v>
      </c>
      <c r="B72" s="4" t="s">
        <v>37</v>
      </c>
      <c r="C72" s="4" t="s">
        <v>19</v>
      </c>
      <c r="D72" s="4" t="s">
        <v>8</v>
      </c>
      <c r="E72" s="4" t="s">
        <v>106</v>
      </c>
      <c r="F72" s="5">
        <v>1.7</v>
      </c>
      <c r="G72" s="10">
        <v>1.0</v>
      </c>
      <c r="H72" s="7"/>
      <c r="I72" s="7"/>
      <c r="J72" s="7"/>
      <c r="K72" s="7"/>
      <c r="L72" s="7"/>
      <c r="M72" s="7"/>
      <c r="N72" s="7"/>
      <c r="O72" s="7"/>
      <c r="P72" s="7"/>
      <c r="Q72" s="7"/>
      <c r="U72" s="8">
        <f t="shared" si="1"/>
        <v>1.7</v>
      </c>
      <c r="V72" s="8">
        <f t="shared" si="2"/>
        <v>50</v>
      </c>
      <c r="W72" s="8" t="str">
        <f t="shared" si="3"/>
        <v/>
      </c>
      <c r="X72" s="8" t="str">
        <f t="shared" si="4"/>
        <v>#N/A</v>
      </c>
    </row>
    <row r="73">
      <c r="A73" s="4">
        <f t="shared" si="5"/>
        <v>72</v>
      </c>
      <c r="B73" s="4" t="s">
        <v>27</v>
      </c>
      <c r="C73" s="4" t="s">
        <v>33</v>
      </c>
      <c r="D73" s="4" t="s">
        <v>8</v>
      </c>
      <c r="E73" s="4" t="s">
        <v>107</v>
      </c>
      <c r="F73" s="5">
        <v>1.9</v>
      </c>
      <c r="G73" s="10">
        <v>1.0</v>
      </c>
      <c r="H73" s="7"/>
      <c r="I73" s="7"/>
      <c r="J73" s="7"/>
      <c r="K73" s="7"/>
      <c r="L73" s="7"/>
      <c r="M73" s="7"/>
      <c r="N73" s="7"/>
      <c r="O73" s="7"/>
      <c r="P73" s="7"/>
      <c r="Q73" s="7"/>
      <c r="U73" s="8">
        <f t="shared" si="1"/>
        <v>1.9</v>
      </c>
      <c r="V73" s="8">
        <f t="shared" si="2"/>
        <v>44</v>
      </c>
      <c r="W73" s="8" t="str">
        <f t="shared" si="3"/>
        <v/>
      </c>
      <c r="X73" s="8" t="str">
        <f t="shared" si="4"/>
        <v>#N/A</v>
      </c>
    </row>
    <row r="74">
      <c r="A74" s="4">
        <f t="shared" si="5"/>
        <v>73</v>
      </c>
      <c r="B74" s="4" t="s">
        <v>19</v>
      </c>
      <c r="C74" s="4" t="s">
        <v>23</v>
      </c>
      <c r="D74" s="4" t="s">
        <v>8</v>
      </c>
      <c r="E74" s="4" t="s">
        <v>108</v>
      </c>
      <c r="F74" s="5">
        <v>1.0</v>
      </c>
      <c r="G74" s="10">
        <v>1.0</v>
      </c>
      <c r="H74" s="7"/>
      <c r="I74" s="7"/>
      <c r="J74" s="7"/>
      <c r="K74" s="7"/>
      <c r="L74" s="7"/>
      <c r="M74" s="7"/>
      <c r="N74" s="7"/>
      <c r="O74" s="7"/>
      <c r="P74" s="7"/>
      <c r="Q74" s="7"/>
      <c r="U74" s="8">
        <f t="shared" si="1"/>
        <v>1</v>
      </c>
      <c r="V74" s="8">
        <f t="shared" si="2"/>
        <v>71</v>
      </c>
      <c r="W74" s="8" t="str">
        <f t="shared" si="3"/>
        <v/>
      </c>
      <c r="X74" s="8" t="str">
        <f t="shared" si="4"/>
        <v>#N/A</v>
      </c>
    </row>
    <row r="75">
      <c r="A75" s="4">
        <f t="shared" si="5"/>
        <v>74</v>
      </c>
      <c r="B75" s="4" t="s">
        <v>48</v>
      </c>
      <c r="C75" s="4" t="s">
        <v>48</v>
      </c>
      <c r="D75" s="4" t="s">
        <v>8</v>
      </c>
      <c r="E75" s="4" t="s">
        <v>109</v>
      </c>
      <c r="F75" s="5">
        <v>2.4</v>
      </c>
      <c r="G75" s="10">
        <v>2.0</v>
      </c>
      <c r="H75" s="7"/>
      <c r="I75" s="7"/>
      <c r="J75" s="7"/>
      <c r="K75" s="7"/>
      <c r="L75" s="7"/>
      <c r="M75" s="7"/>
      <c r="N75" s="7"/>
      <c r="O75" s="7"/>
      <c r="P75" s="7"/>
      <c r="Q75" s="7"/>
      <c r="U75" s="8">
        <f t="shared" si="1"/>
        <v>2.4</v>
      </c>
      <c r="V75" s="8">
        <f t="shared" si="2"/>
        <v>32</v>
      </c>
      <c r="W75" s="8" t="str">
        <f t="shared" si="3"/>
        <v/>
      </c>
      <c r="X75" s="8" t="str">
        <f t="shared" si="4"/>
        <v>#N/A</v>
      </c>
    </row>
    <row r="76">
      <c r="A76" s="4">
        <f t="shared" si="5"/>
        <v>75</v>
      </c>
      <c r="B76" s="4" t="s">
        <v>38</v>
      </c>
      <c r="C76" s="4" t="s">
        <v>19</v>
      </c>
      <c r="D76" s="4" t="s">
        <v>8</v>
      </c>
      <c r="E76" s="4" t="s">
        <v>110</v>
      </c>
      <c r="F76" s="5">
        <v>1.0</v>
      </c>
      <c r="G76" s="10">
        <v>2.0</v>
      </c>
      <c r="H76" s="7"/>
      <c r="I76" s="7"/>
      <c r="J76" s="7"/>
      <c r="K76" s="7"/>
      <c r="L76" s="7"/>
      <c r="M76" s="7"/>
      <c r="N76" s="7"/>
      <c r="O76" s="7"/>
      <c r="P76" s="7"/>
      <c r="Q76" s="7"/>
      <c r="U76" s="8">
        <f t="shared" si="1"/>
        <v>1</v>
      </c>
      <c r="V76" s="8">
        <f t="shared" si="2"/>
        <v>71</v>
      </c>
      <c r="W76" s="8" t="str">
        <f t="shared" si="3"/>
        <v/>
      </c>
      <c r="X76" s="8" t="str">
        <f t="shared" si="4"/>
        <v>#N/A</v>
      </c>
    </row>
    <row r="77">
      <c r="A77" s="4">
        <f t="shared" si="5"/>
        <v>76</v>
      </c>
      <c r="B77" s="4" t="s">
        <v>12</v>
      </c>
      <c r="C77" s="4" t="s">
        <v>48</v>
      </c>
      <c r="D77" s="4" t="s">
        <v>8</v>
      </c>
      <c r="E77" s="4" t="s">
        <v>111</v>
      </c>
      <c r="F77" s="5">
        <v>1.4</v>
      </c>
      <c r="G77" s="10">
        <v>1.0</v>
      </c>
      <c r="H77" s="7"/>
      <c r="I77" s="7"/>
      <c r="J77" s="7"/>
      <c r="K77" s="7"/>
      <c r="L77" s="7"/>
      <c r="M77" s="7"/>
      <c r="N77" s="7"/>
      <c r="O77" s="7"/>
      <c r="P77" s="7"/>
      <c r="Q77" s="7"/>
      <c r="U77" s="8">
        <f t="shared" si="1"/>
        <v>1.4</v>
      </c>
      <c r="V77" s="8">
        <f t="shared" si="2"/>
        <v>57</v>
      </c>
      <c r="W77" s="8" t="str">
        <f t="shared" si="3"/>
        <v/>
      </c>
      <c r="X77" s="8" t="str">
        <f t="shared" si="4"/>
        <v>#N/A</v>
      </c>
    </row>
    <row r="78">
      <c r="A78" s="4">
        <f t="shared" si="5"/>
        <v>77</v>
      </c>
      <c r="B78" s="4" t="s">
        <v>21</v>
      </c>
      <c r="C78" s="4" t="s">
        <v>21</v>
      </c>
      <c r="D78" s="4" t="s">
        <v>8</v>
      </c>
      <c r="E78" s="4" t="s">
        <v>112</v>
      </c>
      <c r="F78" s="5">
        <v>0.9</v>
      </c>
      <c r="G78" s="10">
        <v>1.0</v>
      </c>
      <c r="H78" s="7"/>
      <c r="I78" s="7"/>
      <c r="J78" s="7"/>
      <c r="K78" s="7"/>
      <c r="L78" s="7"/>
      <c r="M78" s="7"/>
      <c r="N78" s="7"/>
      <c r="O78" s="7"/>
      <c r="P78" s="7"/>
      <c r="Q78" s="7"/>
      <c r="U78" s="8">
        <f t="shared" si="1"/>
        <v>0.9</v>
      </c>
      <c r="V78" s="8">
        <f t="shared" si="2"/>
        <v>80</v>
      </c>
      <c r="W78" s="8" t="str">
        <f t="shared" si="3"/>
        <v/>
      </c>
      <c r="X78" s="8" t="str">
        <f t="shared" si="4"/>
        <v>#N/A</v>
      </c>
    </row>
    <row r="79">
      <c r="A79" s="4">
        <f t="shared" si="5"/>
        <v>78</v>
      </c>
      <c r="B79" s="4" t="s">
        <v>25</v>
      </c>
      <c r="C79" s="4" t="s">
        <v>12</v>
      </c>
      <c r="D79" s="4" t="s">
        <v>8</v>
      </c>
      <c r="E79" s="4" t="s">
        <v>113</v>
      </c>
      <c r="F79" s="5">
        <v>3.1</v>
      </c>
      <c r="G79" s="10">
        <v>1.0</v>
      </c>
      <c r="H79" s="7"/>
      <c r="I79" s="7"/>
      <c r="J79" s="7"/>
      <c r="K79" s="7"/>
      <c r="L79" s="7"/>
      <c r="M79" s="7"/>
      <c r="N79" s="7"/>
      <c r="O79" s="7"/>
      <c r="P79" s="7"/>
      <c r="Q79" s="7"/>
      <c r="U79" s="8">
        <f t="shared" si="1"/>
        <v>3.1</v>
      </c>
      <c r="V79" s="8">
        <f t="shared" si="2"/>
        <v>22</v>
      </c>
      <c r="W79" s="8" t="str">
        <f t="shared" si="3"/>
        <v/>
      </c>
      <c r="X79" s="8" t="str">
        <f t="shared" si="4"/>
        <v>#N/A</v>
      </c>
    </row>
    <row r="80">
      <c r="A80" s="4">
        <f t="shared" si="5"/>
        <v>79</v>
      </c>
      <c r="B80" s="4" t="s">
        <v>23</v>
      </c>
      <c r="C80" s="4" t="s">
        <v>23</v>
      </c>
      <c r="D80" s="4" t="s">
        <v>8</v>
      </c>
      <c r="E80" s="4" t="s">
        <v>114</v>
      </c>
      <c r="F80" s="5">
        <v>2.1</v>
      </c>
      <c r="G80" s="10">
        <v>2.0</v>
      </c>
      <c r="H80" s="7"/>
      <c r="I80" s="7"/>
      <c r="J80" s="7"/>
      <c r="K80" s="7"/>
      <c r="L80" s="7"/>
      <c r="M80" s="7"/>
      <c r="N80" s="7"/>
      <c r="O80" s="7"/>
      <c r="P80" s="7"/>
      <c r="Q80" s="7"/>
      <c r="U80" s="8">
        <f t="shared" si="1"/>
        <v>2.1</v>
      </c>
      <c r="V80" s="8">
        <f t="shared" si="2"/>
        <v>39</v>
      </c>
      <c r="W80" s="8" t="str">
        <f t="shared" si="3"/>
        <v/>
      </c>
      <c r="X80" s="8" t="str">
        <f t="shared" si="4"/>
        <v>#N/A</v>
      </c>
    </row>
    <row r="81">
      <c r="A81" s="4">
        <f t="shared" si="5"/>
        <v>80</v>
      </c>
      <c r="B81" s="4" t="s">
        <v>13</v>
      </c>
      <c r="C81" s="4" t="s">
        <v>48</v>
      </c>
      <c r="D81" s="4" t="s">
        <v>8</v>
      </c>
      <c r="E81" s="4" t="s">
        <v>115</v>
      </c>
      <c r="F81" s="5">
        <v>1.8</v>
      </c>
      <c r="G81" s="10">
        <v>1.0</v>
      </c>
      <c r="H81" s="7"/>
      <c r="I81" s="7"/>
      <c r="J81" s="7"/>
      <c r="K81" s="7"/>
      <c r="L81" s="7"/>
      <c r="M81" s="7"/>
      <c r="N81" s="7"/>
      <c r="O81" s="7"/>
      <c r="P81" s="7"/>
      <c r="Q81" s="7"/>
      <c r="U81" s="8">
        <f t="shared" si="1"/>
        <v>1.8</v>
      </c>
      <c r="V81" s="8">
        <f t="shared" si="2"/>
        <v>47</v>
      </c>
      <c r="W81" s="8" t="str">
        <f t="shared" si="3"/>
        <v/>
      </c>
      <c r="X81" s="8" t="str">
        <f t="shared" si="4"/>
        <v>#N/A</v>
      </c>
    </row>
    <row r="82">
      <c r="A82" s="4">
        <f t="shared" si="5"/>
        <v>81</v>
      </c>
      <c r="B82" s="4" t="s">
        <v>33</v>
      </c>
      <c r="C82" s="4" t="s">
        <v>23</v>
      </c>
      <c r="D82" s="4" t="s">
        <v>8</v>
      </c>
      <c r="E82" s="4" t="s">
        <v>116</v>
      </c>
      <c r="F82" s="5">
        <v>1.2</v>
      </c>
      <c r="G82" s="10">
        <v>1.0</v>
      </c>
      <c r="H82" s="7"/>
      <c r="I82" s="7"/>
      <c r="J82" s="7"/>
      <c r="K82" s="7"/>
      <c r="L82" s="7"/>
      <c r="M82" s="7"/>
      <c r="N82" s="7"/>
      <c r="O82" s="7"/>
      <c r="P82" s="7"/>
      <c r="Q82" s="7"/>
      <c r="U82" s="8">
        <f t="shared" si="1"/>
        <v>1.2</v>
      </c>
      <c r="V82" s="8">
        <f t="shared" si="2"/>
        <v>62</v>
      </c>
      <c r="W82" s="8" t="str">
        <f t="shared" si="3"/>
        <v/>
      </c>
      <c r="X82" s="8" t="str">
        <f t="shared" si="4"/>
        <v>#N/A</v>
      </c>
    </row>
    <row r="83">
      <c r="A83" s="4">
        <f t="shared" si="5"/>
        <v>82</v>
      </c>
      <c r="B83" s="4" t="s">
        <v>37</v>
      </c>
      <c r="C83" s="4" t="s">
        <v>23</v>
      </c>
      <c r="D83" s="4" t="s">
        <v>8</v>
      </c>
      <c r="E83" s="4" t="s">
        <v>117</v>
      </c>
      <c r="F83" s="5">
        <v>2.2</v>
      </c>
      <c r="G83" s="10">
        <v>1.0</v>
      </c>
      <c r="H83" s="7"/>
      <c r="I83" s="7"/>
      <c r="J83" s="7"/>
      <c r="K83" s="7"/>
      <c r="L83" s="7"/>
      <c r="M83" s="7"/>
      <c r="N83" s="7"/>
      <c r="O83" s="7"/>
      <c r="P83" s="7"/>
      <c r="Q83" s="7"/>
      <c r="U83" s="8">
        <f t="shared" si="1"/>
        <v>2.2</v>
      </c>
      <c r="V83" s="8">
        <f t="shared" si="2"/>
        <v>36</v>
      </c>
      <c r="W83" s="8" t="str">
        <f t="shared" si="3"/>
        <v/>
      </c>
      <c r="X83" s="8" t="str">
        <f t="shared" si="4"/>
        <v>#N/A</v>
      </c>
    </row>
    <row r="84">
      <c r="A84" s="4">
        <f t="shared" si="5"/>
        <v>83</v>
      </c>
      <c r="B84" s="4" t="s">
        <v>27</v>
      </c>
      <c r="C84" s="4" t="s">
        <v>48</v>
      </c>
      <c r="D84" s="4" t="s">
        <v>8</v>
      </c>
      <c r="E84" s="4" t="s">
        <v>118</v>
      </c>
      <c r="F84" s="5">
        <v>2.2</v>
      </c>
      <c r="G84" s="10">
        <v>1.0</v>
      </c>
      <c r="H84" s="7"/>
      <c r="I84" s="7"/>
      <c r="J84" s="7"/>
      <c r="K84" s="7"/>
      <c r="L84" s="7"/>
      <c r="M84" s="7"/>
      <c r="N84" s="7"/>
      <c r="O84" s="7"/>
      <c r="P84" s="7"/>
      <c r="Q84" s="7"/>
      <c r="U84" s="8">
        <f t="shared" si="1"/>
        <v>2.2</v>
      </c>
      <c r="V84" s="8">
        <f t="shared" si="2"/>
        <v>36</v>
      </c>
      <c r="W84" s="8" t="str">
        <f t="shared" si="3"/>
        <v/>
      </c>
      <c r="X84" s="8" t="str">
        <f t="shared" si="4"/>
        <v>#N/A</v>
      </c>
    </row>
    <row r="85">
      <c r="A85" s="4">
        <f t="shared" si="5"/>
        <v>84</v>
      </c>
      <c r="B85" s="4" t="s">
        <v>19</v>
      </c>
      <c r="C85" s="4" t="s">
        <v>13</v>
      </c>
      <c r="D85" s="4" t="s">
        <v>8</v>
      </c>
      <c r="E85" s="4" t="s">
        <v>119</v>
      </c>
      <c r="F85" s="5">
        <v>0.8</v>
      </c>
      <c r="G85" s="10">
        <v>1.0</v>
      </c>
      <c r="H85" s="7"/>
      <c r="I85" s="7"/>
      <c r="J85" s="7"/>
      <c r="K85" s="7"/>
      <c r="L85" s="7"/>
      <c r="M85" s="7"/>
      <c r="N85" s="7"/>
      <c r="O85" s="7"/>
      <c r="P85" s="7"/>
      <c r="Q85" s="7"/>
      <c r="U85" s="8">
        <f t="shared" si="1"/>
        <v>0.8</v>
      </c>
      <c r="V85" s="8">
        <f t="shared" si="2"/>
        <v>88</v>
      </c>
      <c r="W85" s="8" t="str">
        <f t="shared" si="3"/>
        <v/>
      </c>
      <c r="X85" s="8" t="str">
        <f t="shared" si="4"/>
        <v>#N/A</v>
      </c>
    </row>
    <row r="86">
      <c r="A86" s="4">
        <f t="shared" si="5"/>
        <v>85</v>
      </c>
      <c r="B86" s="4" t="s">
        <v>48</v>
      </c>
      <c r="C86" s="4" t="s">
        <v>48</v>
      </c>
      <c r="D86" s="4" t="s">
        <v>8</v>
      </c>
      <c r="E86" s="4" t="s">
        <v>120</v>
      </c>
      <c r="F86" s="5">
        <v>2.7</v>
      </c>
      <c r="G86" s="10">
        <v>1.0</v>
      </c>
      <c r="H86" s="7"/>
      <c r="I86" s="7"/>
      <c r="J86" s="7"/>
      <c r="K86" s="7"/>
      <c r="L86" s="7"/>
      <c r="M86" s="7"/>
      <c r="N86" s="7"/>
      <c r="O86" s="7"/>
      <c r="P86" s="7"/>
      <c r="Q86" s="7"/>
      <c r="U86" s="8">
        <f t="shared" si="1"/>
        <v>2.7</v>
      </c>
      <c r="V86" s="8">
        <f t="shared" si="2"/>
        <v>29</v>
      </c>
      <c r="W86" s="8" t="str">
        <f t="shared" si="3"/>
        <v/>
      </c>
      <c r="X86" s="8" t="str">
        <f t="shared" si="4"/>
        <v>#N/A</v>
      </c>
    </row>
    <row r="87">
      <c r="A87" s="4">
        <f t="shared" si="5"/>
        <v>86</v>
      </c>
      <c r="B87" s="4" t="s">
        <v>38</v>
      </c>
      <c r="C87" s="4" t="s">
        <v>25</v>
      </c>
      <c r="D87" s="4" t="s">
        <v>8</v>
      </c>
      <c r="E87" s="4" t="s">
        <v>121</v>
      </c>
      <c r="F87" s="5">
        <v>1.0</v>
      </c>
      <c r="G87" s="10">
        <v>2.0</v>
      </c>
      <c r="H87" s="7"/>
      <c r="I87" s="7"/>
      <c r="J87" s="7"/>
      <c r="K87" s="7"/>
      <c r="L87" s="7"/>
      <c r="M87" s="7"/>
      <c r="N87" s="7"/>
      <c r="O87" s="7"/>
      <c r="P87" s="7"/>
      <c r="Q87" s="7"/>
      <c r="U87" s="8">
        <f t="shared" si="1"/>
        <v>1</v>
      </c>
      <c r="V87" s="8">
        <f t="shared" si="2"/>
        <v>71</v>
      </c>
      <c r="W87" s="8" t="str">
        <f t="shared" si="3"/>
        <v/>
      </c>
      <c r="X87" s="8" t="str">
        <f t="shared" si="4"/>
        <v>#N/A</v>
      </c>
    </row>
    <row r="88">
      <c r="A88" s="4">
        <f t="shared" si="5"/>
        <v>87</v>
      </c>
      <c r="B88" s="4" t="s">
        <v>12</v>
      </c>
      <c r="C88" s="4" t="s">
        <v>37</v>
      </c>
      <c r="D88" s="4" t="s">
        <v>8</v>
      </c>
      <c r="E88" s="4" t="s">
        <v>122</v>
      </c>
      <c r="F88" s="5">
        <v>0.7</v>
      </c>
      <c r="G88" s="10">
        <v>1.0</v>
      </c>
      <c r="H88" s="7"/>
      <c r="I88" s="7"/>
      <c r="J88" s="7"/>
      <c r="K88" s="7"/>
      <c r="L88" s="7"/>
      <c r="M88" s="7"/>
      <c r="N88" s="7"/>
      <c r="O88" s="7"/>
      <c r="P88" s="7"/>
      <c r="Q88" s="7"/>
      <c r="U88" s="8">
        <f t="shared" si="1"/>
        <v>0.7</v>
      </c>
      <c r="V88" s="8">
        <f t="shared" si="2"/>
        <v>94</v>
      </c>
      <c r="W88" s="8" t="str">
        <f t="shared" si="3"/>
        <v/>
      </c>
      <c r="X88" s="8" t="str">
        <f t="shared" si="4"/>
        <v>#N/A</v>
      </c>
    </row>
    <row r="89">
      <c r="A89" s="4">
        <f t="shared" si="5"/>
        <v>88</v>
      </c>
      <c r="B89" s="4" t="s">
        <v>21</v>
      </c>
      <c r="C89" s="4" t="s">
        <v>25</v>
      </c>
      <c r="D89" s="4" t="s">
        <v>8</v>
      </c>
      <c r="E89" s="4" t="s">
        <v>123</v>
      </c>
      <c r="F89" s="5">
        <v>2.5</v>
      </c>
      <c r="G89" s="10">
        <v>1.0</v>
      </c>
      <c r="H89" s="7"/>
      <c r="I89" s="7"/>
      <c r="J89" s="7"/>
      <c r="K89" s="7"/>
      <c r="L89" s="7"/>
      <c r="M89" s="7"/>
      <c r="N89" s="7"/>
      <c r="O89" s="7"/>
      <c r="P89" s="7"/>
      <c r="Q89" s="7"/>
      <c r="U89" s="8">
        <f t="shared" si="1"/>
        <v>2.5</v>
      </c>
      <c r="V89" s="8">
        <f t="shared" si="2"/>
        <v>30</v>
      </c>
      <c r="W89" s="8" t="str">
        <f t="shared" si="3"/>
        <v/>
      </c>
      <c r="X89" s="8" t="str">
        <f t="shared" si="4"/>
        <v>#N/A</v>
      </c>
    </row>
    <row r="90">
      <c r="A90" s="4">
        <f t="shared" si="5"/>
        <v>89</v>
      </c>
      <c r="B90" s="4" t="s">
        <v>25</v>
      </c>
      <c r="C90" s="4" t="s">
        <v>12</v>
      </c>
      <c r="D90" s="4" t="s">
        <v>8</v>
      </c>
      <c r="E90" s="4" t="s">
        <v>124</v>
      </c>
      <c r="F90" s="5">
        <v>0.6</v>
      </c>
      <c r="G90" s="10">
        <v>1.0</v>
      </c>
      <c r="H90" s="7"/>
      <c r="I90" s="7"/>
      <c r="J90" s="7"/>
      <c r="K90" s="7"/>
      <c r="L90" s="7"/>
      <c r="M90" s="7"/>
      <c r="N90" s="7"/>
      <c r="O90" s="7"/>
      <c r="P90" s="7"/>
      <c r="Q90" s="7"/>
      <c r="U90" s="8">
        <f t="shared" si="1"/>
        <v>0.6</v>
      </c>
      <c r="V90" s="8">
        <f t="shared" si="2"/>
        <v>100</v>
      </c>
      <c r="W90" s="8" t="str">
        <f t="shared" si="3"/>
        <v/>
      </c>
      <c r="X90" s="8" t="str">
        <f t="shared" si="4"/>
        <v>#N/A</v>
      </c>
    </row>
    <row r="91">
      <c r="A91" s="4">
        <f t="shared" si="5"/>
        <v>90</v>
      </c>
      <c r="B91" s="4" t="s">
        <v>23</v>
      </c>
      <c r="C91" s="4" t="s">
        <v>23</v>
      </c>
      <c r="D91" s="4" t="s">
        <v>8</v>
      </c>
      <c r="E91" s="4" t="s">
        <v>125</v>
      </c>
      <c r="F91" s="5">
        <v>1.7</v>
      </c>
      <c r="G91" s="10">
        <v>1.0</v>
      </c>
      <c r="H91" s="7"/>
      <c r="I91" s="7"/>
      <c r="J91" s="7"/>
      <c r="K91" s="7"/>
      <c r="L91" s="7"/>
      <c r="M91" s="7"/>
      <c r="N91" s="7"/>
      <c r="O91" s="7"/>
      <c r="P91" s="7"/>
      <c r="Q91" s="7"/>
      <c r="U91" s="8">
        <f t="shared" si="1"/>
        <v>1.7</v>
      </c>
      <c r="V91" s="8">
        <f t="shared" si="2"/>
        <v>50</v>
      </c>
      <c r="W91" s="8" t="str">
        <f t="shared" si="3"/>
        <v/>
      </c>
      <c r="X91" s="8" t="str">
        <f t="shared" si="4"/>
        <v>#N/A</v>
      </c>
    </row>
    <row r="92">
      <c r="A92" s="4">
        <f t="shared" si="5"/>
        <v>91</v>
      </c>
      <c r="B92" s="4" t="s">
        <v>13</v>
      </c>
      <c r="C92" s="4" t="s">
        <v>19</v>
      </c>
      <c r="D92" s="4" t="s">
        <v>8</v>
      </c>
      <c r="E92" s="4" t="s">
        <v>126</v>
      </c>
      <c r="F92" s="5">
        <v>0.8</v>
      </c>
      <c r="G92" s="10">
        <v>1.0</v>
      </c>
      <c r="H92" s="7"/>
      <c r="I92" s="7"/>
      <c r="J92" s="7"/>
      <c r="K92" s="7"/>
      <c r="L92" s="7"/>
      <c r="M92" s="7"/>
      <c r="N92" s="7"/>
      <c r="O92" s="7"/>
      <c r="P92" s="7"/>
      <c r="Q92" s="7"/>
      <c r="U92" s="8">
        <f t="shared" si="1"/>
        <v>0.8</v>
      </c>
      <c r="V92" s="8">
        <f t="shared" si="2"/>
        <v>88</v>
      </c>
      <c r="W92" s="8" t="str">
        <f t="shared" si="3"/>
        <v/>
      </c>
      <c r="X92" s="8" t="str">
        <f t="shared" si="4"/>
        <v>#N/A</v>
      </c>
    </row>
    <row r="93">
      <c r="A93" s="4">
        <f t="shared" si="5"/>
        <v>92</v>
      </c>
      <c r="B93" s="4" t="s">
        <v>33</v>
      </c>
      <c r="C93" s="4" t="s">
        <v>12</v>
      </c>
      <c r="D93" s="4" t="s">
        <v>8</v>
      </c>
      <c r="E93" s="4" t="s">
        <v>127</v>
      </c>
      <c r="F93" s="5">
        <v>0.7</v>
      </c>
      <c r="G93" s="10">
        <v>4.0</v>
      </c>
      <c r="H93" s="7"/>
      <c r="I93" s="7"/>
      <c r="J93" s="7"/>
      <c r="K93" s="7"/>
      <c r="L93" s="7"/>
      <c r="M93" s="7"/>
      <c r="N93" s="7"/>
      <c r="O93" s="7"/>
      <c r="P93" s="7"/>
      <c r="Q93" s="7"/>
      <c r="U93" s="8">
        <f t="shared" si="1"/>
        <v>0.7</v>
      </c>
      <c r="V93" s="8">
        <f t="shared" si="2"/>
        <v>94</v>
      </c>
      <c r="W93" s="8" t="str">
        <f t="shared" si="3"/>
        <v/>
      </c>
      <c r="X93" s="8" t="str">
        <f t="shared" si="4"/>
        <v>#N/A</v>
      </c>
    </row>
    <row r="94">
      <c r="A94" s="4">
        <f t="shared" si="5"/>
        <v>93</v>
      </c>
      <c r="B94" s="4" t="s">
        <v>37</v>
      </c>
      <c r="C94" s="4" t="s">
        <v>13</v>
      </c>
      <c r="D94" s="4" t="s">
        <v>8</v>
      </c>
      <c r="E94" s="4" t="s">
        <v>128</v>
      </c>
      <c r="F94" s="5">
        <v>0.9</v>
      </c>
      <c r="G94" s="10">
        <v>1.0</v>
      </c>
      <c r="H94" s="7"/>
      <c r="I94" s="7"/>
      <c r="J94" s="7"/>
      <c r="K94" s="7"/>
      <c r="L94" s="7"/>
      <c r="M94" s="7"/>
      <c r="N94" s="7"/>
      <c r="O94" s="7"/>
      <c r="P94" s="7"/>
      <c r="Q94" s="7"/>
      <c r="U94" s="8">
        <f t="shared" si="1"/>
        <v>0.9</v>
      </c>
      <c r="V94" s="8">
        <f t="shared" si="2"/>
        <v>80</v>
      </c>
      <c r="W94" s="8" t="str">
        <f t="shared" si="3"/>
        <v/>
      </c>
      <c r="X94" s="8" t="str">
        <f t="shared" si="4"/>
        <v>#N/A</v>
      </c>
    </row>
    <row r="95">
      <c r="A95" s="4">
        <f t="shared" si="5"/>
        <v>94</v>
      </c>
      <c r="B95" s="4" t="s">
        <v>27</v>
      </c>
      <c r="C95" s="4" t="s">
        <v>37</v>
      </c>
      <c r="D95" s="4" t="s">
        <v>8</v>
      </c>
      <c r="E95" s="4" t="s">
        <v>129</v>
      </c>
      <c r="F95" s="5">
        <v>2.4</v>
      </c>
      <c r="G95" s="10">
        <v>1.0</v>
      </c>
      <c r="H95" s="7"/>
      <c r="I95" s="7"/>
      <c r="J95" s="7"/>
      <c r="K95" s="7"/>
      <c r="L95" s="7"/>
      <c r="M95" s="7"/>
      <c r="N95" s="7"/>
      <c r="O95" s="7"/>
      <c r="P95" s="7"/>
      <c r="Q95" s="7"/>
      <c r="U95" s="8">
        <f t="shared" si="1"/>
        <v>2.4</v>
      </c>
      <c r="V95" s="8">
        <f t="shared" si="2"/>
        <v>32</v>
      </c>
      <c r="W95" s="8" t="str">
        <f t="shared" si="3"/>
        <v/>
      </c>
      <c r="X95" s="8" t="str">
        <f t="shared" si="4"/>
        <v>#N/A</v>
      </c>
    </row>
    <row r="96">
      <c r="A96" s="4">
        <f t="shared" si="5"/>
        <v>95</v>
      </c>
      <c r="B96" s="4" t="s">
        <v>19</v>
      </c>
      <c r="C96" s="4" t="s">
        <v>48</v>
      </c>
      <c r="D96" s="4" t="s">
        <v>8</v>
      </c>
      <c r="E96" s="4" t="s">
        <v>130</v>
      </c>
      <c r="F96" s="5">
        <v>1.1</v>
      </c>
      <c r="G96" s="10">
        <v>1.0</v>
      </c>
      <c r="H96" s="7"/>
      <c r="I96" s="7"/>
      <c r="J96" s="7"/>
      <c r="K96" s="7"/>
      <c r="L96" s="7"/>
      <c r="M96" s="7"/>
      <c r="N96" s="7"/>
      <c r="O96" s="7"/>
      <c r="P96" s="7"/>
      <c r="Q96" s="7"/>
      <c r="U96" s="8">
        <f t="shared" si="1"/>
        <v>1.1</v>
      </c>
      <c r="V96" s="8">
        <f t="shared" si="2"/>
        <v>67</v>
      </c>
      <c r="W96" s="8" t="str">
        <f t="shared" si="3"/>
        <v/>
      </c>
      <c r="X96" s="8" t="str">
        <f t="shared" si="4"/>
        <v>#N/A</v>
      </c>
    </row>
    <row r="97">
      <c r="A97" s="4">
        <f t="shared" si="5"/>
        <v>96</v>
      </c>
      <c r="B97" s="4" t="s">
        <v>48</v>
      </c>
      <c r="C97" s="4" t="s">
        <v>23</v>
      </c>
      <c r="D97" s="4" t="s">
        <v>8</v>
      </c>
      <c r="E97" s="4" t="s">
        <v>131</v>
      </c>
      <c r="F97" s="5">
        <v>1.4</v>
      </c>
      <c r="G97" s="10">
        <v>1.0</v>
      </c>
      <c r="H97" s="7"/>
      <c r="I97" s="7"/>
      <c r="J97" s="7"/>
      <c r="K97" s="7"/>
      <c r="L97" s="7"/>
      <c r="M97" s="7"/>
      <c r="N97" s="7"/>
      <c r="O97" s="7"/>
      <c r="P97" s="7"/>
      <c r="Q97" s="7"/>
      <c r="U97" s="8">
        <f t="shared" si="1"/>
        <v>1.4</v>
      </c>
      <c r="V97" s="8">
        <f t="shared" si="2"/>
        <v>57</v>
      </c>
      <c r="W97" s="8" t="str">
        <f t="shared" si="3"/>
        <v/>
      </c>
      <c r="X97" s="8" t="str">
        <f t="shared" si="4"/>
        <v>#N/A</v>
      </c>
    </row>
    <row r="98">
      <c r="A98" s="4">
        <f t="shared" si="5"/>
        <v>97</v>
      </c>
      <c r="B98" s="4" t="s">
        <v>38</v>
      </c>
      <c r="C98" s="4" t="s">
        <v>13</v>
      </c>
      <c r="D98" s="4" t="s">
        <v>8</v>
      </c>
      <c r="E98" s="4" t="s">
        <v>132</v>
      </c>
      <c r="F98" s="5">
        <v>2.0</v>
      </c>
      <c r="G98" s="10">
        <v>1.0</v>
      </c>
      <c r="H98" s="7"/>
      <c r="I98" s="7"/>
      <c r="J98" s="7"/>
      <c r="K98" s="7"/>
      <c r="L98" s="7"/>
      <c r="M98" s="7"/>
      <c r="N98" s="7"/>
      <c r="O98" s="7"/>
      <c r="P98" s="7"/>
      <c r="Q98" s="7"/>
      <c r="U98" s="8">
        <f t="shared" si="1"/>
        <v>2</v>
      </c>
      <c r="V98" s="8">
        <f t="shared" si="2"/>
        <v>40</v>
      </c>
      <c r="W98" s="8" t="str">
        <f t="shared" si="3"/>
        <v/>
      </c>
      <c r="X98" s="8" t="str">
        <f t="shared" si="4"/>
        <v>#N/A</v>
      </c>
    </row>
    <row r="99">
      <c r="A99" s="4">
        <f t="shared" si="5"/>
        <v>98</v>
      </c>
      <c r="B99" s="4" t="s">
        <v>12</v>
      </c>
      <c r="C99" s="4" t="s">
        <v>33</v>
      </c>
      <c r="D99" s="4" t="s">
        <v>8</v>
      </c>
      <c r="E99" s="4" t="s">
        <v>133</v>
      </c>
      <c r="F99" s="5">
        <v>1.0</v>
      </c>
      <c r="G99" s="10">
        <v>2.0</v>
      </c>
      <c r="H99" s="7"/>
      <c r="I99" s="7"/>
      <c r="J99" s="7"/>
      <c r="K99" s="7"/>
      <c r="L99" s="7"/>
      <c r="M99" s="7"/>
      <c r="N99" s="7"/>
      <c r="O99" s="7"/>
      <c r="P99" s="7"/>
      <c r="Q99" s="7"/>
      <c r="U99" s="8">
        <f t="shared" si="1"/>
        <v>1</v>
      </c>
      <c r="V99" s="8">
        <f t="shared" si="2"/>
        <v>71</v>
      </c>
      <c r="W99" s="8" t="str">
        <f t="shared" si="3"/>
        <v/>
      </c>
      <c r="X99" s="8" t="str">
        <f t="shared" si="4"/>
        <v>#N/A</v>
      </c>
    </row>
    <row r="100">
      <c r="A100" s="4">
        <f t="shared" si="5"/>
        <v>99</v>
      </c>
      <c r="B100" s="4" t="s">
        <v>21</v>
      </c>
      <c r="C100" s="4" t="s">
        <v>33</v>
      </c>
      <c r="D100" s="4" t="s">
        <v>8</v>
      </c>
      <c r="E100" s="4" t="s">
        <v>134</v>
      </c>
      <c r="F100" s="5">
        <v>1.2</v>
      </c>
      <c r="G100" s="10">
        <v>1.0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U100" s="8">
        <f t="shared" si="1"/>
        <v>1.2</v>
      </c>
      <c r="V100" s="8">
        <f t="shared" si="2"/>
        <v>62</v>
      </c>
      <c r="W100" s="8" t="str">
        <f t="shared" si="3"/>
        <v/>
      </c>
      <c r="X100" s="8" t="str">
        <f t="shared" si="4"/>
        <v>#N/A</v>
      </c>
    </row>
    <row r="101">
      <c r="A101" s="4">
        <f t="shared" si="5"/>
        <v>100</v>
      </c>
      <c r="B101" s="4" t="s">
        <v>25</v>
      </c>
      <c r="C101" s="4" t="s">
        <v>19</v>
      </c>
      <c r="D101" s="4" t="s">
        <v>8</v>
      </c>
      <c r="E101" s="4" t="s">
        <v>135</v>
      </c>
      <c r="F101" s="5">
        <v>0.7</v>
      </c>
      <c r="G101" s="10">
        <v>1.0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U101" s="8">
        <f t="shared" si="1"/>
        <v>0.7</v>
      </c>
      <c r="V101" s="8">
        <f t="shared" si="2"/>
        <v>94</v>
      </c>
      <c r="W101" s="8" t="str">
        <f t="shared" si="3"/>
        <v/>
      </c>
      <c r="X101" s="8" t="str">
        <f t="shared" si="4"/>
        <v>#N/A</v>
      </c>
    </row>
    <row r="102">
      <c r="A102" s="4">
        <f t="shared" si="5"/>
        <v>101</v>
      </c>
      <c r="B102" s="4" t="s">
        <v>23</v>
      </c>
      <c r="C102" s="4" t="s">
        <v>19</v>
      </c>
      <c r="D102" s="4" t="s">
        <v>8</v>
      </c>
      <c r="E102" s="4" t="s">
        <v>136</v>
      </c>
      <c r="F102" s="5">
        <v>0.7</v>
      </c>
      <c r="G102" s="10">
        <v>1.0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U102" s="8">
        <f t="shared" si="1"/>
        <v>0.7</v>
      </c>
      <c r="V102" s="8">
        <f t="shared" si="2"/>
        <v>94</v>
      </c>
      <c r="W102" s="8" t="str">
        <f t="shared" si="3"/>
        <v/>
      </c>
      <c r="X102" s="8" t="str">
        <f t="shared" si="4"/>
        <v>#N/A</v>
      </c>
    </row>
    <row r="103">
      <c r="A103" s="4">
        <f t="shared" si="5"/>
        <v>102</v>
      </c>
      <c r="B103" s="4" t="s">
        <v>13</v>
      </c>
      <c r="C103" s="4" t="s">
        <v>12</v>
      </c>
      <c r="D103" s="4" t="s">
        <v>8</v>
      </c>
      <c r="E103" s="4" t="s">
        <v>137</v>
      </c>
      <c r="F103" s="5">
        <v>1.0</v>
      </c>
      <c r="G103" s="10">
        <v>1.0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U103" s="8">
        <f t="shared" si="1"/>
        <v>1</v>
      </c>
      <c r="V103" s="8">
        <f t="shared" si="2"/>
        <v>71</v>
      </c>
      <c r="W103" s="8" t="str">
        <f t="shared" si="3"/>
        <v/>
      </c>
      <c r="X103" s="8" t="str">
        <f t="shared" si="4"/>
        <v>#N/A</v>
      </c>
    </row>
    <row r="104">
      <c r="A104" s="4">
        <f t="shared" si="5"/>
        <v>103</v>
      </c>
      <c r="B104" s="4" t="s">
        <v>33</v>
      </c>
      <c r="C104" s="4" t="s">
        <v>21</v>
      </c>
      <c r="D104" s="4" t="s">
        <v>8</v>
      </c>
      <c r="E104" s="4" t="s">
        <v>138</v>
      </c>
      <c r="F104" s="5">
        <v>1.4</v>
      </c>
      <c r="G104" s="10">
        <v>1.0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U104" s="8">
        <f t="shared" si="1"/>
        <v>1.4</v>
      </c>
      <c r="V104" s="8">
        <f t="shared" si="2"/>
        <v>57</v>
      </c>
      <c r="W104" s="8" t="str">
        <f t="shared" si="3"/>
        <v/>
      </c>
      <c r="X104" s="8" t="str">
        <f t="shared" si="4"/>
        <v>#N/A</v>
      </c>
    </row>
    <row r="105">
      <c r="A105" s="4">
        <f t="shared" si="5"/>
        <v>104</v>
      </c>
      <c r="B105" s="4" t="s">
        <v>37</v>
      </c>
      <c r="C105" s="4" t="s">
        <v>33</v>
      </c>
      <c r="D105" s="4" t="s">
        <v>8</v>
      </c>
      <c r="E105" s="4" t="s">
        <v>139</v>
      </c>
      <c r="F105" s="5">
        <v>1.1</v>
      </c>
      <c r="G105" s="10">
        <v>1.0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U105" s="8">
        <f t="shared" si="1"/>
        <v>1.1</v>
      </c>
      <c r="V105" s="8">
        <f t="shared" si="2"/>
        <v>67</v>
      </c>
      <c r="W105" s="8" t="str">
        <f t="shared" si="3"/>
        <v/>
      </c>
      <c r="X105" s="8" t="str">
        <f t="shared" si="4"/>
        <v>#N/A</v>
      </c>
    </row>
    <row r="106">
      <c r="A106" s="4">
        <f t="shared" si="5"/>
        <v>105</v>
      </c>
      <c r="B106" s="4" t="s">
        <v>27</v>
      </c>
      <c r="C106" s="4" t="s">
        <v>21</v>
      </c>
      <c r="D106" s="4" t="s">
        <v>8</v>
      </c>
      <c r="E106" s="4" t="s">
        <v>140</v>
      </c>
      <c r="F106" s="5">
        <v>1.6</v>
      </c>
      <c r="G106" s="10">
        <v>1.0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  <c r="U106" s="8">
        <f t="shared" si="1"/>
        <v>1.6</v>
      </c>
      <c r="V106" s="8">
        <f t="shared" si="2"/>
        <v>52</v>
      </c>
      <c r="W106" s="8" t="str">
        <f t="shared" si="3"/>
        <v/>
      </c>
      <c r="X106" s="8" t="str">
        <f t="shared" si="4"/>
        <v>#N/A</v>
      </c>
    </row>
    <row r="107">
      <c r="A107" s="4">
        <f t="shared" si="5"/>
        <v>106</v>
      </c>
      <c r="B107" s="4" t="s">
        <v>19</v>
      </c>
      <c r="C107" s="4" t="s">
        <v>33</v>
      </c>
      <c r="D107" s="4" t="s">
        <v>8</v>
      </c>
      <c r="E107" s="4" t="s">
        <v>141</v>
      </c>
      <c r="F107" s="5">
        <v>0.9</v>
      </c>
      <c r="G107" s="10">
        <v>1.0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U107" s="8">
        <f t="shared" si="1"/>
        <v>0.9</v>
      </c>
      <c r="V107" s="8">
        <f t="shared" si="2"/>
        <v>80</v>
      </c>
      <c r="W107" s="8" t="str">
        <f t="shared" si="3"/>
        <v/>
      </c>
      <c r="X107" s="8" t="str">
        <f t="shared" si="4"/>
        <v>#N/A</v>
      </c>
    </row>
    <row r="108">
      <c r="A108" s="4">
        <f t="shared" si="5"/>
        <v>107</v>
      </c>
      <c r="B108" s="4" t="s">
        <v>48</v>
      </c>
      <c r="C108" s="4" t="s">
        <v>27</v>
      </c>
      <c r="D108" s="4" t="s">
        <v>8</v>
      </c>
      <c r="E108" s="4" t="s">
        <v>142</v>
      </c>
      <c r="F108" s="5">
        <v>0.9</v>
      </c>
      <c r="G108" s="10">
        <v>1.0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U108" s="8">
        <f t="shared" si="1"/>
        <v>0.9</v>
      </c>
      <c r="V108" s="8">
        <f t="shared" si="2"/>
        <v>80</v>
      </c>
      <c r="W108" s="8" t="str">
        <f t="shared" si="3"/>
        <v/>
      </c>
      <c r="X108" s="8" t="str">
        <f t="shared" si="4"/>
        <v>#N/A</v>
      </c>
    </row>
    <row r="109">
      <c r="A109" s="4">
        <f t="shared" si="5"/>
        <v>108</v>
      </c>
      <c r="B109" s="4" t="s">
        <v>38</v>
      </c>
      <c r="C109" s="4" t="s">
        <v>38</v>
      </c>
      <c r="D109" s="4" t="s">
        <v>8</v>
      </c>
      <c r="E109" s="4" t="s">
        <v>143</v>
      </c>
      <c r="F109" s="5">
        <v>0.5</v>
      </c>
      <c r="G109" s="10">
        <v>1.0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r="U109" s="8">
        <f t="shared" si="1"/>
        <v>0.5</v>
      </c>
      <c r="V109" s="8">
        <f t="shared" si="2"/>
        <v>104</v>
      </c>
      <c r="W109" s="8" t="str">
        <f t="shared" si="3"/>
        <v/>
      </c>
      <c r="X109" s="8" t="str">
        <f t="shared" si="4"/>
        <v>#N/A</v>
      </c>
    </row>
    <row r="110">
      <c r="A110" s="4">
        <f t="shared" si="5"/>
        <v>109</v>
      </c>
      <c r="B110" s="4" t="s">
        <v>12</v>
      </c>
      <c r="C110" s="4" t="s">
        <v>25</v>
      </c>
      <c r="D110" s="4" t="s">
        <v>8</v>
      </c>
      <c r="E110" s="4" t="s">
        <v>144</v>
      </c>
      <c r="F110" s="5">
        <v>0.8</v>
      </c>
      <c r="G110" s="10">
        <v>1.0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U110" s="8">
        <f t="shared" si="1"/>
        <v>0.8</v>
      </c>
      <c r="V110" s="8">
        <f t="shared" si="2"/>
        <v>88</v>
      </c>
      <c r="W110" s="8" t="str">
        <f t="shared" si="3"/>
        <v/>
      </c>
      <c r="X110" s="8" t="str">
        <f t="shared" si="4"/>
        <v>#N/A</v>
      </c>
    </row>
    <row r="111">
      <c r="A111" s="4">
        <f t="shared" si="5"/>
        <v>110</v>
      </c>
      <c r="B111" s="4" t="s">
        <v>21</v>
      </c>
      <c r="C111" s="4" t="s">
        <v>13</v>
      </c>
      <c r="D111" s="4" t="s">
        <v>8</v>
      </c>
      <c r="E111" s="4" t="s">
        <v>145</v>
      </c>
      <c r="F111" s="5">
        <v>0.8</v>
      </c>
      <c r="G111" s="10">
        <v>1.0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U111" s="8">
        <f t="shared" si="1"/>
        <v>0.8</v>
      </c>
      <c r="V111" s="8">
        <f t="shared" si="2"/>
        <v>88</v>
      </c>
      <c r="W111" s="8" t="str">
        <f t="shared" si="3"/>
        <v/>
      </c>
      <c r="X111" s="8" t="str">
        <f t="shared" si="4"/>
        <v>#N/A</v>
      </c>
    </row>
    <row r="112">
      <c r="A112" s="4">
        <f t="shared" si="5"/>
        <v>111</v>
      </c>
      <c r="B112" s="4" t="s">
        <v>25</v>
      </c>
      <c r="C112" s="4" t="s">
        <v>33</v>
      </c>
      <c r="D112" s="4" t="s">
        <v>8</v>
      </c>
      <c r="E112" s="4" t="s">
        <v>146</v>
      </c>
      <c r="F112" s="5">
        <v>1.3</v>
      </c>
      <c r="G112" s="10">
        <v>1.0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U112" s="8">
        <f t="shared" si="1"/>
        <v>1.3</v>
      </c>
      <c r="V112" s="8">
        <f t="shared" si="2"/>
        <v>60</v>
      </c>
      <c r="W112" s="8" t="str">
        <f t="shared" si="3"/>
        <v/>
      </c>
      <c r="X112" s="8" t="str">
        <f t="shared" si="4"/>
        <v>#N/A</v>
      </c>
    </row>
    <row r="113">
      <c r="A113" s="4">
        <f t="shared" si="5"/>
        <v>112</v>
      </c>
      <c r="B113" s="4" t="s">
        <v>13</v>
      </c>
      <c r="C113" s="4" t="s">
        <v>13</v>
      </c>
      <c r="D113" s="4" t="s">
        <v>8</v>
      </c>
      <c r="E113" s="4" t="s">
        <v>147</v>
      </c>
      <c r="F113" s="5">
        <v>0.5</v>
      </c>
      <c r="G113" s="10">
        <v>1.0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U113" s="8">
        <f t="shared" si="1"/>
        <v>0.5</v>
      </c>
      <c r="V113" s="8">
        <f t="shared" si="2"/>
        <v>104</v>
      </c>
      <c r="W113" s="8" t="str">
        <f t="shared" si="3"/>
        <v/>
      </c>
      <c r="X113" s="8" t="str">
        <f t="shared" si="4"/>
        <v>#N/A</v>
      </c>
    </row>
    <row r="114">
      <c r="A114" s="4">
        <f t="shared" si="5"/>
        <v>113</v>
      </c>
      <c r="B114" s="4" t="s">
        <v>33</v>
      </c>
      <c r="C114" s="4" t="s">
        <v>38</v>
      </c>
      <c r="D114" s="4" t="s">
        <v>8</v>
      </c>
      <c r="E114" s="4" t="s">
        <v>148</v>
      </c>
      <c r="F114" s="5">
        <v>1.0</v>
      </c>
      <c r="G114" s="10">
        <v>1.0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U114" s="8">
        <f t="shared" si="1"/>
        <v>1</v>
      </c>
      <c r="V114" s="8">
        <f t="shared" si="2"/>
        <v>71</v>
      </c>
      <c r="W114" s="8" t="str">
        <f t="shared" si="3"/>
        <v/>
      </c>
      <c r="X114" s="8" t="str">
        <f t="shared" si="4"/>
        <v>#N/A</v>
      </c>
    </row>
    <row r="115">
      <c r="A115" s="4">
        <f t="shared" si="5"/>
        <v>114</v>
      </c>
      <c r="B115" s="4" t="s">
        <v>37</v>
      </c>
      <c r="C115" s="4" t="s">
        <v>21</v>
      </c>
      <c r="D115" s="4" t="s">
        <v>8</v>
      </c>
      <c r="E115" s="4" t="s">
        <v>149</v>
      </c>
      <c r="F115" s="5">
        <v>1.0</v>
      </c>
      <c r="G115" s="10">
        <v>1.0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U115" s="8">
        <f t="shared" si="1"/>
        <v>1</v>
      </c>
      <c r="V115" s="8">
        <f t="shared" si="2"/>
        <v>71</v>
      </c>
      <c r="W115" s="8" t="str">
        <f t="shared" si="3"/>
        <v/>
      </c>
      <c r="X115" s="8" t="str">
        <f t="shared" si="4"/>
        <v>#N/A</v>
      </c>
    </row>
    <row r="116">
      <c r="A116" s="4">
        <f t="shared" si="5"/>
        <v>115</v>
      </c>
      <c r="B116" s="4" t="s">
        <v>19</v>
      </c>
      <c r="C116" s="4" t="s">
        <v>19</v>
      </c>
      <c r="D116" s="4" t="s">
        <v>8</v>
      </c>
      <c r="E116" s="4" t="s">
        <v>150</v>
      </c>
      <c r="F116" s="5">
        <v>0.9</v>
      </c>
      <c r="G116" s="10">
        <v>1.0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U116" s="8">
        <f t="shared" si="1"/>
        <v>0.9</v>
      </c>
      <c r="V116" s="8">
        <f t="shared" si="2"/>
        <v>80</v>
      </c>
      <c r="W116" s="8" t="str">
        <f t="shared" si="3"/>
        <v/>
      </c>
      <c r="X116" s="8" t="str">
        <f t="shared" si="4"/>
        <v>#N/A</v>
      </c>
    </row>
    <row r="117">
      <c r="A117" s="4">
        <f t="shared" si="5"/>
        <v>116</v>
      </c>
      <c r="B117" s="4" t="s">
        <v>48</v>
      </c>
      <c r="C117" s="4" t="s">
        <v>19</v>
      </c>
      <c r="D117" s="4" t="s">
        <v>8</v>
      </c>
      <c r="E117" s="4" t="s">
        <v>151</v>
      </c>
      <c r="F117" s="5">
        <v>0.9</v>
      </c>
      <c r="G117" s="10">
        <v>1.0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U117" s="8">
        <f t="shared" si="1"/>
        <v>0.9</v>
      </c>
      <c r="V117" s="8">
        <f t="shared" si="2"/>
        <v>80</v>
      </c>
      <c r="W117" s="8" t="str">
        <f t="shared" si="3"/>
        <v/>
      </c>
      <c r="X117" s="8" t="str">
        <f t="shared" si="4"/>
        <v>#N/A</v>
      </c>
    </row>
    <row r="118">
      <c r="A118" s="4">
        <f t="shared" si="5"/>
        <v>117</v>
      </c>
      <c r="B118" s="4" t="s">
        <v>12</v>
      </c>
      <c r="C118" s="4" t="s">
        <v>12</v>
      </c>
      <c r="D118" s="4" t="s">
        <v>8</v>
      </c>
      <c r="E118" s="4" t="s">
        <v>152</v>
      </c>
      <c r="F118" s="5">
        <v>0.5</v>
      </c>
      <c r="G118" s="10">
        <v>1.0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U118" s="8">
        <f t="shared" si="1"/>
        <v>0.5</v>
      </c>
      <c r="V118" s="8">
        <f t="shared" si="2"/>
        <v>104</v>
      </c>
      <c r="W118" s="8" t="str">
        <f t="shared" si="3"/>
        <v/>
      </c>
      <c r="X118" s="8" t="str">
        <f t="shared" si="4"/>
        <v>#N/A</v>
      </c>
    </row>
    <row r="119">
      <c r="A119" s="4">
        <f t="shared" si="5"/>
        <v>118</v>
      </c>
      <c r="B119" s="4" t="s">
        <v>21</v>
      </c>
      <c r="C119" s="4" t="s">
        <v>33</v>
      </c>
      <c r="D119" s="4" t="s">
        <v>8</v>
      </c>
      <c r="E119" s="4" t="s">
        <v>153</v>
      </c>
      <c r="F119" s="5">
        <v>0.6</v>
      </c>
      <c r="G119" s="10">
        <v>1.0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U119" s="8">
        <f t="shared" si="1"/>
        <v>0.6</v>
      </c>
      <c r="V119" s="8">
        <f t="shared" si="2"/>
        <v>100</v>
      </c>
      <c r="W119" s="8" t="str">
        <f t="shared" si="3"/>
        <v/>
      </c>
      <c r="X119" s="8" t="str">
        <f t="shared" si="4"/>
        <v>#N/A</v>
      </c>
    </row>
    <row r="120">
      <c r="A120" s="4">
        <f t="shared" si="5"/>
        <v>119</v>
      </c>
      <c r="B120" s="4" t="s">
        <v>25</v>
      </c>
      <c r="C120" s="4" t="s">
        <v>48</v>
      </c>
      <c r="D120" s="4" t="s">
        <v>8</v>
      </c>
      <c r="E120" s="4" t="s">
        <v>154</v>
      </c>
      <c r="F120" s="5">
        <v>0.9</v>
      </c>
      <c r="G120" s="10">
        <v>1.0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U120" s="8">
        <f t="shared" si="1"/>
        <v>0.9</v>
      </c>
      <c r="V120" s="8">
        <f t="shared" si="2"/>
        <v>80</v>
      </c>
      <c r="W120" s="8" t="str">
        <f t="shared" si="3"/>
        <v/>
      </c>
      <c r="X120" s="8" t="str">
        <f t="shared" si="4"/>
        <v>#N/A</v>
      </c>
    </row>
    <row r="121">
      <c r="A121" s="4">
        <f t="shared" si="5"/>
        <v>120</v>
      </c>
      <c r="B121" s="4" t="s">
        <v>13</v>
      </c>
      <c r="C121" s="4" t="s">
        <v>13</v>
      </c>
      <c r="D121" s="4" t="s">
        <v>8</v>
      </c>
      <c r="E121" s="4" t="s">
        <v>155</v>
      </c>
      <c r="F121" s="5">
        <v>0.5</v>
      </c>
      <c r="G121" s="10">
        <v>1.0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U121" s="8">
        <f t="shared" si="1"/>
        <v>0.5</v>
      </c>
      <c r="V121" s="8">
        <f t="shared" si="2"/>
        <v>104</v>
      </c>
      <c r="W121" s="8" t="str">
        <f t="shared" si="3"/>
        <v/>
      </c>
      <c r="X121" s="8" t="str">
        <f t="shared" si="4"/>
        <v>#N/A</v>
      </c>
    </row>
    <row r="122">
      <c r="A122" s="4">
        <f t="shared" si="5"/>
        <v>121</v>
      </c>
      <c r="B122" s="4" t="s">
        <v>33</v>
      </c>
      <c r="C122" s="4" t="s">
        <v>33</v>
      </c>
      <c r="D122" s="4" t="s">
        <v>8</v>
      </c>
      <c r="E122" s="4" t="s">
        <v>156</v>
      </c>
      <c r="F122" s="5">
        <v>1.0</v>
      </c>
      <c r="G122" s="10">
        <v>1.0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U122" s="8">
        <f t="shared" si="1"/>
        <v>1</v>
      </c>
      <c r="V122" s="8">
        <f t="shared" si="2"/>
        <v>71</v>
      </c>
      <c r="W122" s="8" t="str">
        <f t="shared" si="3"/>
        <v/>
      </c>
      <c r="X122" s="8" t="str">
        <f t="shared" si="4"/>
        <v>#N/A</v>
      </c>
    </row>
    <row r="123">
      <c r="A123" s="4">
        <f t="shared" si="5"/>
        <v>122</v>
      </c>
      <c r="B123" s="4" t="s">
        <v>37</v>
      </c>
      <c r="C123" s="4" t="s">
        <v>37</v>
      </c>
      <c r="D123" s="4" t="s">
        <v>8</v>
      </c>
      <c r="E123" s="4" t="s">
        <v>157</v>
      </c>
      <c r="F123" s="5">
        <v>0.5</v>
      </c>
      <c r="G123" s="10">
        <v>1.0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U123" s="8">
        <f t="shared" si="1"/>
        <v>0.5</v>
      </c>
      <c r="V123" s="8">
        <f t="shared" si="2"/>
        <v>104</v>
      </c>
      <c r="W123" s="8" t="str">
        <f t="shared" si="3"/>
        <v/>
      </c>
      <c r="X123" s="8" t="str">
        <f t="shared" si="4"/>
        <v>#N/A</v>
      </c>
    </row>
    <row r="124">
      <c r="A124" s="4">
        <f t="shared" si="5"/>
        <v>123</v>
      </c>
      <c r="B124" s="4" t="s">
        <v>19</v>
      </c>
      <c r="C124" s="4" t="s">
        <v>19</v>
      </c>
      <c r="D124" s="4" t="s">
        <v>8</v>
      </c>
      <c r="E124" s="4" t="s">
        <v>158</v>
      </c>
      <c r="F124" s="5">
        <v>0.5</v>
      </c>
      <c r="G124" s="10">
        <v>1.0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U124" s="8">
        <f t="shared" si="1"/>
        <v>0.5</v>
      </c>
      <c r="V124" s="8">
        <f t="shared" si="2"/>
        <v>104</v>
      </c>
      <c r="W124" s="8" t="str">
        <f t="shared" si="3"/>
        <v/>
      </c>
      <c r="X124" s="8" t="str">
        <f t="shared" si="4"/>
        <v>#N/A</v>
      </c>
    </row>
    <row r="125">
      <c r="A125" s="4">
        <f t="shared" si="5"/>
        <v>124</v>
      </c>
      <c r="B125" s="4" t="s">
        <v>12</v>
      </c>
      <c r="C125" s="4" t="s">
        <v>12</v>
      </c>
      <c r="D125" s="4" t="s">
        <v>8</v>
      </c>
      <c r="E125" s="4" t="s">
        <v>159</v>
      </c>
      <c r="F125" s="5">
        <v>0.5</v>
      </c>
      <c r="G125" s="10">
        <v>1.0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U125" s="8">
        <f t="shared" si="1"/>
        <v>0.5</v>
      </c>
      <c r="V125" s="8">
        <f t="shared" si="2"/>
        <v>104</v>
      </c>
      <c r="W125" s="8" t="str">
        <f t="shared" si="3"/>
        <v/>
      </c>
      <c r="X125" s="8" t="str">
        <f t="shared" si="4"/>
        <v>#N/A</v>
      </c>
    </row>
    <row r="126">
      <c r="A126" s="4">
        <f t="shared" si="5"/>
        <v>125</v>
      </c>
      <c r="B126" s="4" t="s">
        <v>21</v>
      </c>
      <c r="C126" s="4" t="s">
        <v>21</v>
      </c>
      <c r="D126" s="4" t="s">
        <v>8</v>
      </c>
      <c r="E126" s="4" t="s">
        <v>160</v>
      </c>
      <c r="F126" s="5">
        <v>0.7</v>
      </c>
      <c r="G126" s="10">
        <v>1.0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U126" s="8">
        <f t="shared" si="1"/>
        <v>0.7</v>
      </c>
      <c r="V126" s="8">
        <f t="shared" si="2"/>
        <v>94</v>
      </c>
      <c r="W126" s="8" t="str">
        <f t="shared" si="3"/>
        <v/>
      </c>
      <c r="X126" s="8" t="str">
        <f t="shared" si="4"/>
        <v>#N/A</v>
      </c>
    </row>
    <row r="127">
      <c r="A127" s="4">
        <f t="shared" si="5"/>
        <v>126</v>
      </c>
      <c r="B127" s="4" t="s">
        <v>25</v>
      </c>
      <c r="C127" s="4" t="s">
        <v>25</v>
      </c>
      <c r="D127" s="4" t="s">
        <v>8</v>
      </c>
      <c r="E127" s="4" t="s">
        <v>161</v>
      </c>
      <c r="F127" s="5">
        <v>0.7</v>
      </c>
      <c r="G127" s="10">
        <v>1.0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U127" s="8">
        <f t="shared" si="1"/>
        <v>0.7</v>
      </c>
      <c r="V127" s="8">
        <f t="shared" si="2"/>
        <v>94</v>
      </c>
      <c r="W127" s="8" t="str">
        <f t="shared" si="3"/>
        <v/>
      </c>
      <c r="X127" s="8" t="str">
        <f t="shared" si="4"/>
        <v>#N/A</v>
      </c>
    </row>
    <row r="128">
      <c r="A128" s="4">
        <f t="shared" si="5"/>
        <v>127</v>
      </c>
      <c r="B128" s="4" t="s">
        <v>13</v>
      </c>
      <c r="C128" s="4" t="s">
        <v>13</v>
      </c>
      <c r="D128" s="4" t="s">
        <v>8</v>
      </c>
      <c r="E128" s="4" t="s">
        <v>162</v>
      </c>
      <c r="F128" s="5">
        <v>0.5</v>
      </c>
      <c r="G128" s="10">
        <v>2.0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U128" s="8">
        <f t="shared" si="1"/>
        <v>0.5</v>
      </c>
      <c r="V128" s="8">
        <f t="shared" si="2"/>
        <v>104</v>
      </c>
      <c r="W128" s="8" t="str">
        <f t="shared" si="3"/>
        <v/>
      </c>
      <c r="X128" s="8" t="str">
        <f t="shared" si="4"/>
        <v>#N/A</v>
      </c>
    </row>
    <row r="129">
      <c r="A129" s="4">
        <f t="shared" si="5"/>
        <v>128</v>
      </c>
      <c r="B129" s="4" t="s">
        <v>33</v>
      </c>
      <c r="C129" s="4" t="s">
        <v>19</v>
      </c>
      <c r="D129" s="4" t="s">
        <v>8</v>
      </c>
      <c r="E129" s="4" t="s">
        <v>163</v>
      </c>
      <c r="F129" s="5">
        <v>1.1</v>
      </c>
      <c r="G129" s="10">
        <v>1.0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U129" s="8">
        <f t="shared" si="1"/>
        <v>1.1</v>
      </c>
      <c r="V129" s="8">
        <f t="shared" si="2"/>
        <v>67</v>
      </c>
      <c r="W129" s="8" t="str">
        <f t="shared" si="3"/>
        <v/>
      </c>
      <c r="X129" s="8" t="str">
        <f t="shared" si="4"/>
        <v>#N/A</v>
      </c>
    </row>
    <row r="130">
      <c r="A130" s="4">
        <f t="shared" si="5"/>
        <v>129</v>
      </c>
      <c r="B130" s="4" t="s">
        <v>37</v>
      </c>
      <c r="C130" s="4" t="s">
        <v>33</v>
      </c>
      <c r="D130" s="4" t="s">
        <v>8</v>
      </c>
      <c r="E130" s="4" t="s">
        <v>164</v>
      </c>
      <c r="F130" s="5">
        <v>0.6</v>
      </c>
      <c r="G130" s="10">
        <v>1.0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U130" s="8">
        <f t="shared" si="1"/>
        <v>0.6</v>
      </c>
      <c r="V130" s="8">
        <f t="shared" si="2"/>
        <v>100</v>
      </c>
      <c r="W130" s="8" t="str">
        <f t="shared" si="3"/>
        <v/>
      </c>
      <c r="X130" s="8" t="str">
        <f t="shared" si="4"/>
        <v>#N/A</v>
      </c>
    </row>
    <row r="131">
      <c r="A131" s="4">
        <f t="shared" si="5"/>
        <v>130</v>
      </c>
      <c r="B131" s="4" t="s">
        <v>12</v>
      </c>
      <c r="C131" s="4" t="s">
        <v>12</v>
      </c>
      <c r="D131" s="4" t="s">
        <v>8</v>
      </c>
      <c r="E131" s="4" t="s">
        <v>165</v>
      </c>
      <c r="F131" s="5">
        <v>0.5</v>
      </c>
      <c r="G131" s="10">
        <v>1.0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U131" s="8">
        <f t="shared" si="1"/>
        <v>0.5</v>
      </c>
      <c r="V131" s="8">
        <f t="shared" si="2"/>
        <v>104</v>
      </c>
      <c r="W131" s="8" t="str">
        <f t="shared" si="3"/>
        <v/>
      </c>
      <c r="X131" s="8" t="str">
        <f t="shared" si="4"/>
        <v>#N/A</v>
      </c>
    </row>
    <row r="132">
      <c r="A132" s="4">
        <f t="shared" si="5"/>
        <v>131</v>
      </c>
      <c r="B132" s="4" t="s">
        <v>25</v>
      </c>
      <c r="C132" s="4" t="s">
        <v>25</v>
      </c>
      <c r="D132" s="4" t="s">
        <v>8</v>
      </c>
      <c r="E132" s="4" t="s">
        <v>166</v>
      </c>
      <c r="F132" s="5">
        <v>0.5</v>
      </c>
      <c r="G132" s="10">
        <v>1.0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U132" s="8">
        <f t="shared" si="1"/>
        <v>0.5</v>
      </c>
      <c r="V132" s="8">
        <f t="shared" si="2"/>
        <v>104</v>
      </c>
      <c r="W132" s="8" t="str">
        <f t="shared" si="3"/>
        <v/>
      </c>
      <c r="X132" s="8" t="str">
        <f t="shared" si="4"/>
        <v>#N/A</v>
      </c>
    </row>
    <row r="133">
      <c r="A133" s="4">
        <f t="shared" si="5"/>
        <v>132</v>
      </c>
      <c r="B133" s="4" t="s">
        <v>33</v>
      </c>
      <c r="C133" s="4" t="s">
        <v>33</v>
      </c>
      <c r="D133" s="4" t="s">
        <v>8</v>
      </c>
      <c r="E133" s="4" t="s">
        <v>167</v>
      </c>
      <c r="F133" s="5">
        <v>0.5</v>
      </c>
      <c r="G133" s="10">
        <v>3.0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U133" s="8">
        <f t="shared" si="1"/>
        <v>0.5</v>
      </c>
      <c r="V133" s="8">
        <f t="shared" si="2"/>
        <v>104</v>
      </c>
      <c r="W133" s="8" t="str">
        <f t="shared" si="3"/>
        <v/>
      </c>
      <c r="X133" s="8" t="str">
        <f t="shared" si="4"/>
        <v>#N/A</v>
      </c>
    </row>
    <row r="134">
      <c r="A134" s="4">
        <f t="shared" si="5"/>
        <v>133</v>
      </c>
      <c r="B134" s="4" t="s">
        <v>37</v>
      </c>
      <c r="C134" s="4" t="s">
        <v>37</v>
      </c>
      <c r="D134" s="4" t="s">
        <v>8</v>
      </c>
      <c r="E134" s="4" t="s">
        <v>168</v>
      </c>
      <c r="F134" s="5">
        <v>0.5</v>
      </c>
      <c r="G134" s="10">
        <v>1.0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U134" s="8">
        <f t="shared" si="1"/>
        <v>0.5</v>
      </c>
      <c r="V134" s="8">
        <f t="shared" si="2"/>
        <v>104</v>
      </c>
      <c r="W134" s="8" t="str">
        <f t="shared" si="3"/>
        <v/>
      </c>
      <c r="X134" s="8" t="str">
        <f t="shared" si="4"/>
        <v>#N/A</v>
      </c>
    </row>
    <row r="135">
      <c r="A135" s="4">
        <f t="shared" si="5"/>
        <v>134</v>
      </c>
      <c r="B135" s="4" t="s">
        <v>12</v>
      </c>
      <c r="C135" s="4" t="s">
        <v>25</v>
      </c>
      <c r="D135" s="4" t="s">
        <v>8</v>
      </c>
      <c r="E135" s="4" t="s">
        <v>169</v>
      </c>
      <c r="F135" s="5">
        <v>0.6</v>
      </c>
      <c r="G135" s="10">
        <v>1.0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U135" s="8">
        <f t="shared" si="1"/>
        <v>0.6</v>
      </c>
      <c r="V135" s="8">
        <f t="shared" si="2"/>
        <v>100</v>
      </c>
      <c r="W135" s="8" t="str">
        <f t="shared" si="3"/>
        <v/>
      </c>
      <c r="X135" s="8" t="str">
        <f t="shared" si="4"/>
        <v>#N/A</v>
      </c>
    </row>
    <row r="136">
      <c r="A136" s="4">
        <f t="shared" si="5"/>
        <v>135</v>
      </c>
      <c r="B136" s="4" t="s">
        <v>25</v>
      </c>
      <c r="C136" s="4" t="s">
        <v>37</v>
      </c>
      <c r="D136" s="4" t="s">
        <v>8</v>
      </c>
      <c r="E136" s="4" t="s">
        <v>170</v>
      </c>
      <c r="F136" s="5">
        <v>1.5</v>
      </c>
      <c r="G136" s="10">
        <v>1.0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U136" s="8">
        <f t="shared" si="1"/>
        <v>1.5</v>
      </c>
      <c r="V136" s="8">
        <f t="shared" si="2"/>
        <v>54</v>
      </c>
      <c r="W136" s="8" t="str">
        <f t="shared" si="3"/>
        <v/>
      </c>
      <c r="X136" s="8" t="str">
        <f t="shared" si="4"/>
        <v>#N/A</v>
      </c>
    </row>
    <row r="137">
      <c r="A137" s="4">
        <f t="shared" si="5"/>
        <v>136</v>
      </c>
      <c r="B137" s="4" t="s">
        <v>12</v>
      </c>
      <c r="C137" s="4" t="s">
        <v>25</v>
      </c>
      <c r="D137" s="4" t="s">
        <v>8</v>
      </c>
      <c r="E137" s="4" t="s">
        <v>171</v>
      </c>
      <c r="F137" s="5">
        <v>0.5</v>
      </c>
      <c r="G137" s="10">
        <v>1.0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U137" s="8">
        <f t="shared" si="1"/>
        <v>0.5</v>
      </c>
      <c r="V137" s="8">
        <f t="shared" si="2"/>
        <v>104</v>
      </c>
      <c r="W137" s="8" t="str">
        <f t="shared" si="3"/>
        <v/>
      </c>
      <c r="X137" s="8" t="str">
        <f t="shared" si="4"/>
        <v>#N/A</v>
      </c>
    </row>
    <row r="138">
      <c r="A138" s="4">
        <f t="shared" si="5"/>
        <v>137</v>
      </c>
      <c r="B138" s="4" t="s">
        <v>25</v>
      </c>
      <c r="C138" s="4" t="s">
        <v>25</v>
      </c>
      <c r="D138" s="4" t="s">
        <v>8</v>
      </c>
      <c r="E138" s="4" t="s">
        <v>172</v>
      </c>
      <c r="F138" s="5">
        <v>0.5</v>
      </c>
      <c r="G138" s="10">
        <v>1.0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U138" s="8">
        <f t="shared" si="1"/>
        <v>0.5</v>
      </c>
      <c r="V138" s="8">
        <f t="shared" si="2"/>
        <v>104</v>
      </c>
      <c r="W138" s="8" t="str">
        <f t="shared" si="3"/>
        <v/>
      </c>
      <c r="X138" s="8" t="str">
        <f t="shared" si="4"/>
        <v>#N/A</v>
      </c>
    </row>
    <row r="139">
      <c r="A139" s="4">
        <f t="shared" si="5"/>
        <v>138</v>
      </c>
      <c r="B139" s="4" t="s">
        <v>25</v>
      </c>
      <c r="C139" s="4" t="s">
        <v>25</v>
      </c>
      <c r="D139" s="4" t="s">
        <v>8</v>
      </c>
      <c r="E139" s="4" t="s">
        <v>173</v>
      </c>
      <c r="F139" s="5">
        <v>0.5</v>
      </c>
      <c r="G139" s="10">
        <v>1.0</v>
      </c>
      <c r="H139" s="7"/>
      <c r="I139" s="7"/>
      <c r="J139" s="7"/>
      <c r="K139" s="7"/>
      <c r="L139" s="7"/>
      <c r="M139" s="7"/>
      <c r="N139" s="7"/>
      <c r="O139" s="7"/>
      <c r="P139" s="7"/>
      <c r="Q139" s="7"/>
      <c r="U139" s="8">
        <f t="shared" si="1"/>
        <v>0.5</v>
      </c>
      <c r="V139" s="8">
        <f t="shared" si="2"/>
        <v>104</v>
      </c>
      <c r="W139" s="8" t="str">
        <f t="shared" si="3"/>
        <v/>
      </c>
      <c r="X139" s="8" t="str">
        <f t="shared" si="4"/>
        <v>#N/A</v>
      </c>
    </row>
    <row r="140">
      <c r="A140" s="4">
        <f t="shared" si="5"/>
        <v>139</v>
      </c>
      <c r="B140" s="4" t="s">
        <v>25</v>
      </c>
      <c r="C140" s="4" t="s">
        <v>25</v>
      </c>
      <c r="D140" s="4" t="s">
        <v>8</v>
      </c>
      <c r="E140" s="4" t="s">
        <v>174</v>
      </c>
      <c r="F140" s="5">
        <v>0.5</v>
      </c>
      <c r="G140" s="10">
        <v>1.0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U140" s="8">
        <f t="shared" si="1"/>
        <v>0.5</v>
      </c>
      <c r="V140" s="8">
        <f t="shared" si="2"/>
        <v>104</v>
      </c>
      <c r="W140" s="8" t="str">
        <f t="shared" si="3"/>
        <v/>
      </c>
      <c r="X140" s="8" t="str">
        <f t="shared" si="4"/>
        <v>#N/A</v>
      </c>
    </row>
    <row r="141">
      <c r="A141" s="4"/>
      <c r="B141" s="4"/>
      <c r="C141" s="4"/>
      <c r="D141" s="4"/>
      <c r="E141" s="4"/>
      <c r="F141" s="5"/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</row>
    <row r="142">
      <c r="A142" s="4"/>
      <c r="B142" s="4"/>
      <c r="C142" s="4"/>
      <c r="D142" s="4"/>
      <c r="E142" s="4"/>
      <c r="F142" s="5"/>
      <c r="G142" s="10"/>
      <c r="H142" s="7"/>
      <c r="I142" s="7"/>
      <c r="J142" s="7"/>
      <c r="K142" s="7"/>
      <c r="L142" s="7"/>
      <c r="M142" s="7"/>
      <c r="N142" s="7"/>
      <c r="O142" s="7"/>
      <c r="P142" s="7"/>
      <c r="Q142" s="7"/>
    </row>
    <row r="143">
      <c r="A143" s="4"/>
      <c r="B143" s="4"/>
      <c r="C143" s="4"/>
      <c r="D143" s="4"/>
      <c r="E143" s="4"/>
      <c r="F143" s="5"/>
      <c r="G143" s="10"/>
      <c r="H143" s="7"/>
      <c r="I143" s="7"/>
      <c r="J143" s="7"/>
      <c r="K143" s="7"/>
      <c r="L143" s="7"/>
      <c r="M143" s="7"/>
      <c r="N143" s="7"/>
      <c r="O143" s="7"/>
      <c r="P143" s="7"/>
      <c r="Q143" s="7"/>
    </row>
    <row r="144">
      <c r="A144" s="4"/>
      <c r="B144" s="4"/>
      <c r="C144" s="4"/>
      <c r="D144" s="4"/>
      <c r="E144" s="4"/>
      <c r="F144" s="5"/>
      <c r="G144" s="10"/>
      <c r="H144" s="7"/>
      <c r="I144" s="7"/>
      <c r="J144" s="7"/>
      <c r="K144" s="7"/>
      <c r="L144" s="7"/>
      <c r="M144" s="7"/>
      <c r="N144" s="7"/>
      <c r="O144" s="7"/>
      <c r="P144" s="7"/>
      <c r="Q144" s="7"/>
    </row>
    <row r="145">
      <c r="A145" s="4"/>
      <c r="B145" s="4"/>
      <c r="C145" s="4"/>
      <c r="D145" s="4"/>
      <c r="E145" s="4"/>
      <c r="F145" s="5"/>
      <c r="G145" s="10"/>
      <c r="H145" s="7"/>
      <c r="I145" s="7"/>
      <c r="J145" s="7"/>
      <c r="K145" s="7"/>
      <c r="L145" s="7"/>
      <c r="M145" s="7"/>
      <c r="N145" s="7"/>
      <c r="O145" s="7"/>
      <c r="P145" s="7"/>
      <c r="Q145" s="7"/>
    </row>
    <row r="146">
      <c r="A146" s="4"/>
      <c r="B146" s="4"/>
      <c r="C146" s="4"/>
      <c r="D146" s="4"/>
      <c r="E146" s="4"/>
      <c r="F146" s="5"/>
      <c r="G146" s="10"/>
      <c r="H146" s="7"/>
      <c r="I146" s="7"/>
      <c r="J146" s="7"/>
      <c r="K146" s="7"/>
      <c r="L146" s="7"/>
      <c r="M146" s="7"/>
      <c r="N146" s="7"/>
      <c r="O146" s="7"/>
      <c r="P146" s="7"/>
      <c r="Q146" s="7"/>
    </row>
    <row r="147">
      <c r="A147" s="4"/>
      <c r="B147" s="4"/>
      <c r="C147" s="4"/>
      <c r="D147" s="4"/>
      <c r="E147" s="4"/>
      <c r="F147" s="5"/>
      <c r="G147" s="10"/>
      <c r="H147" s="7"/>
      <c r="I147" s="7"/>
      <c r="J147" s="7"/>
      <c r="K147" s="7"/>
      <c r="L147" s="7"/>
      <c r="M147" s="7"/>
      <c r="N147" s="7"/>
      <c r="O147" s="7"/>
      <c r="P147" s="7"/>
      <c r="Q147" s="7"/>
    </row>
    <row r="148">
      <c r="A148" s="4"/>
      <c r="B148" s="4"/>
      <c r="C148" s="4"/>
      <c r="D148" s="4"/>
      <c r="E148" s="4"/>
      <c r="F148" s="5"/>
      <c r="G148" s="10"/>
      <c r="H148" s="7"/>
      <c r="I148" s="7"/>
      <c r="J148" s="7"/>
      <c r="K148" s="7"/>
      <c r="L148" s="7"/>
      <c r="M148" s="7"/>
      <c r="N148" s="7"/>
      <c r="O148" s="7"/>
      <c r="P148" s="7"/>
      <c r="Q148" s="7"/>
    </row>
    <row r="149">
      <c r="A149" s="4"/>
      <c r="B149" s="4"/>
      <c r="C149" s="4"/>
      <c r="D149" s="4"/>
      <c r="E149" s="4"/>
      <c r="F149" s="5"/>
      <c r="G149" s="10"/>
      <c r="H149" s="7"/>
      <c r="I149" s="7"/>
      <c r="J149" s="7"/>
      <c r="K149" s="7"/>
      <c r="L149" s="7"/>
      <c r="M149" s="7"/>
      <c r="N149" s="7"/>
      <c r="O149" s="7"/>
      <c r="P149" s="7"/>
      <c r="Q149" s="7"/>
    </row>
    <row r="150">
      <c r="A150" s="4"/>
      <c r="B150" s="4"/>
      <c r="C150" s="4"/>
      <c r="D150" s="4"/>
      <c r="E150" s="4"/>
      <c r="F150" s="5"/>
      <c r="G150" s="10"/>
      <c r="H150" s="7"/>
      <c r="I150" s="7"/>
      <c r="J150" s="7"/>
      <c r="K150" s="7"/>
      <c r="L150" s="7"/>
      <c r="M150" s="7"/>
      <c r="N150" s="7"/>
      <c r="O150" s="7"/>
      <c r="P150" s="7"/>
      <c r="Q150" s="7"/>
    </row>
    <row r="151">
      <c r="A151" s="4"/>
      <c r="B151" s="4"/>
      <c r="C151" s="4"/>
      <c r="D151" s="4"/>
      <c r="E151" s="4"/>
      <c r="F151" s="5"/>
      <c r="G151" s="10"/>
      <c r="H151" s="7"/>
      <c r="I151" s="7"/>
      <c r="J151" s="7"/>
      <c r="K151" s="7"/>
      <c r="L151" s="7"/>
      <c r="M151" s="7"/>
      <c r="N151" s="7"/>
      <c r="O151" s="7"/>
      <c r="P151" s="7"/>
      <c r="Q151" s="7"/>
    </row>
    <row r="152">
      <c r="A152" s="4"/>
      <c r="B152" s="4"/>
      <c r="C152" s="4"/>
      <c r="D152" s="4"/>
      <c r="E152" s="4"/>
      <c r="F152" s="5"/>
      <c r="G152" s="10"/>
      <c r="H152" s="7"/>
      <c r="I152" s="7"/>
      <c r="J152" s="7"/>
      <c r="K152" s="7"/>
      <c r="L152" s="7"/>
      <c r="M152" s="7"/>
      <c r="N152" s="7"/>
      <c r="O152" s="7"/>
      <c r="P152" s="7"/>
      <c r="Q152" s="7"/>
    </row>
    <row r="153">
      <c r="A153" s="4"/>
      <c r="B153" s="4"/>
      <c r="C153" s="4"/>
      <c r="D153" s="4"/>
      <c r="E153" s="4"/>
      <c r="F153" s="5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</row>
    <row r="154">
      <c r="A154" s="4"/>
      <c r="B154" s="4"/>
      <c r="C154" s="4"/>
      <c r="D154" s="4"/>
      <c r="E154" s="4"/>
      <c r="F154" s="5"/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</row>
    <row r="155">
      <c r="A155" s="4"/>
      <c r="B155" s="4"/>
      <c r="C155" s="4"/>
      <c r="D155" s="4"/>
      <c r="E155" s="4"/>
      <c r="F155" s="5"/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</row>
    <row r="156">
      <c r="A156" s="4"/>
      <c r="B156" s="4"/>
      <c r="C156" s="4"/>
      <c r="D156" s="4"/>
      <c r="E156" s="4"/>
      <c r="F156" s="5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</row>
    <row r="157">
      <c r="A157" s="4"/>
      <c r="B157" s="4"/>
      <c r="C157" s="4"/>
      <c r="D157" s="4"/>
      <c r="E157" s="4"/>
      <c r="F157" s="5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</row>
    <row r="158">
      <c r="A158" s="4"/>
      <c r="B158" s="4"/>
      <c r="C158" s="4"/>
      <c r="D158" s="4"/>
      <c r="E158" s="4"/>
      <c r="F158" s="5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</row>
    <row r="159">
      <c r="A159" s="4"/>
      <c r="B159" s="4"/>
      <c r="C159" s="4"/>
      <c r="D159" s="4"/>
      <c r="E159" s="4"/>
      <c r="F159" s="5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</row>
    <row r="160">
      <c r="A160" s="4"/>
      <c r="B160" s="4"/>
      <c r="C160" s="4"/>
      <c r="D160" s="4"/>
      <c r="E160" s="4"/>
      <c r="F160" s="5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</row>
    <row r="161">
      <c r="A161" s="4"/>
      <c r="B161" s="4"/>
      <c r="C161" s="4"/>
      <c r="D161" s="4"/>
      <c r="E161" s="4"/>
      <c r="F161" s="5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</row>
    <row r="162">
      <c r="A162" s="4"/>
      <c r="B162" s="4"/>
      <c r="C162" s="4"/>
      <c r="D162" s="4"/>
      <c r="E162" s="4"/>
      <c r="F162" s="5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</row>
    <row r="163">
      <c r="A163" s="4"/>
      <c r="B163" s="4"/>
      <c r="C163" s="4"/>
      <c r="D163" s="4"/>
      <c r="E163" s="4"/>
      <c r="F163" s="5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</row>
    <row r="164">
      <c r="A164" s="4"/>
      <c r="B164" s="4"/>
      <c r="C164" s="4"/>
      <c r="D164" s="4"/>
      <c r="E164" s="4"/>
      <c r="F164" s="5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</row>
  </sheetData>
  <autoFilter ref="$A$1:$AA$1000"/>
  <mergeCells count="3">
    <mergeCell ref="H20:J20"/>
    <mergeCell ref="H45:I45"/>
    <mergeCell ref="H49:K49"/>
  </mergeCells>
  <dataValidations>
    <dataValidation type="list" allowBlank="1" showErrorMessage="1" sqref="D2:D156">
      <formula1>"RFA,UFA"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5"/>
    <col customWidth="1" min="5" max="5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U1" s="3" t="s">
        <v>8</v>
      </c>
      <c r="V1" s="3" t="s">
        <v>9</v>
      </c>
      <c r="W1" s="3" t="s">
        <v>10</v>
      </c>
      <c r="X1" s="3" t="s">
        <v>11</v>
      </c>
    </row>
    <row r="2">
      <c r="A2" s="4">
        <v>1.0</v>
      </c>
      <c r="B2" s="4" t="s">
        <v>12</v>
      </c>
      <c r="C2" s="4" t="s">
        <v>23</v>
      </c>
      <c r="D2" s="4" t="s">
        <v>10</v>
      </c>
      <c r="E2" s="4" t="s">
        <v>175</v>
      </c>
      <c r="F2" s="5">
        <v>5.6</v>
      </c>
      <c r="G2" s="5">
        <v>3.0</v>
      </c>
      <c r="H2" s="6"/>
      <c r="I2" s="6"/>
      <c r="J2" s="6"/>
      <c r="K2" s="6"/>
      <c r="L2" s="7"/>
      <c r="M2" s="7"/>
      <c r="N2" s="7"/>
      <c r="O2" s="7"/>
      <c r="P2" s="7"/>
      <c r="Q2" s="7"/>
      <c r="U2" s="8" t="str">
        <f t="shared" ref="U2:U173" si="1">if($D2=U$1,$F2,"")</f>
        <v/>
      </c>
      <c r="V2" s="8" t="str">
        <f t="shared" ref="V2:V157" si="2">rank(U2,$U$2:$U$173)</f>
        <v>#N/A</v>
      </c>
      <c r="W2" s="8">
        <f t="shared" ref="W2:W173" si="3">if($D2=W$1,$F2,"")</f>
        <v>5.6</v>
      </c>
      <c r="X2" s="8">
        <f t="shared" ref="X2:X157" si="4">rank(W2,$W$2:$W$173)</f>
        <v>4</v>
      </c>
    </row>
    <row r="3">
      <c r="A3" s="4">
        <f t="shared" ref="A3:A157" si="5">A2+1</f>
        <v>2</v>
      </c>
      <c r="B3" s="4" t="s">
        <v>12</v>
      </c>
      <c r="C3" s="4" t="s">
        <v>33</v>
      </c>
      <c r="D3" s="4" t="s">
        <v>8</v>
      </c>
      <c r="E3" s="4" t="s">
        <v>40</v>
      </c>
      <c r="F3" s="5">
        <v>6.5</v>
      </c>
      <c r="G3" s="5">
        <v>1.0</v>
      </c>
      <c r="H3" s="7"/>
      <c r="I3" s="7"/>
      <c r="J3" s="7"/>
      <c r="K3" s="7"/>
      <c r="L3" s="7"/>
      <c r="M3" s="7"/>
      <c r="N3" s="7"/>
      <c r="O3" s="7"/>
      <c r="P3" s="7"/>
      <c r="Q3" s="7"/>
      <c r="U3" s="8">
        <f t="shared" si="1"/>
        <v>6.5</v>
      </c>
      <c r="V3" s="8">
        <f t="shared" si="2"/>
        <v>4</v>
      </c>
      <c r="W3" s="8" t="str">
        <f t="shared" si="3"/>
        <v/>
      </c>
      <c r="X3" s="8" t="str">
        <f t="shared" si="4"/>
        <v>#N/A</v>
      </c>
    </row>
    <row r="4">
      <c r="A4" s="4">
        <f t="shared" si="5"/>
        <v>3</v>
      </c>
      <c r="B4" s="4" t="s">
        <v>13</v>
      </c>
      <c r="C4" s="4" t="s">
        <v>12</v>
      </c>
      <c r="D4" s="4" t="s">
        <v>10</v>
      </c>
      <c r="E4" s="4" t="s">
        <v>176</v>
      </c>
      <c r="F4" s="5">
        <v>5.6</v>
      </c>
      <c r="G4" s="5">
        <v>3.0</v>
      </c>
      <c r="H4" s="4"/>
      <c r="I4" s="4"/>
      <c r="J4" s="4"/>
      <c r="K4" s="4"/>
      <c r="L4" s="4"/>
      <c r="M4" s="7"/>
      <c r="N4" s="7"/>
      <c r="O4" s="7"/>
      <c r="P4" s="7"/>
      <c r="Q4" s="7"/>
      <c r="U4" s="8" t="str">
        <f t="shared" si="1"/>
        <v/>
      </c>
      <c r="V4" s="8" t="str">
        <f t="shared" si="2"/>
        <v>#N/A</v>
      </c>
      <c r="W4" s="8">
        <f t="shared" si="3"/>
        <v>5.6</v>
      </c>
      <c r="X4" s="8">
        <f t="shared" si="4"/>
        <v>4</v>
      </c>
    </row>
    <row r="5">
      <c r="A5" s="4">
        <f t="shared" si="5"/>
        <v>4</v>
      </c>
      <c r="B5" s="4" t="s">
        <v>13</v>
      </c>
      <c r="C5" s="4" t="s">
        <v>38</v>
      </c>
      <c r="D5" s="4" t="s">
        <v>8</v>
      </c>
      <c r="E5" s="4" t="s">
        <v>62</v>
      </c>
      <c r="F5" s="5">
        <v>4.7</v>
      </c>
      <c r="G5" s="5">
        <v>1.0</v>
      </c>
      <c r="H5" s="7"/>
      <c r="I5" s="7"/>
      <c r="J5" s="7"/>
      <c r="K5" s="7"/>
      <c r="L5" s="7"/>
      <c r="M5" s="7"/>
      <c r="N5" s="7"/>
      <c r="O5" s="7"/>
      <c r="P5" s="7"/>
      <c r="Q5" s="7"/>
      <c r="U5" s="8">
        <f t="shared" si="1"/>
        <v>4.7</v>
      </c>
      <c r="V5" s="8">
        <f t="shared" si="2"/>
        <v>12</v>
      </c>
      <c r="W5" s="8" t="str">
        <f t="shared" si="3"/>
        <v/>
      </c>
      <c r="X5" s="8" t="str">
        <f t="shared" si="4"/>
        <v>#N/A</v>
      </c>
    </row>
    <row r="6">
      <c r="A6" s="4">
        <f t="shared" si="5"/>
        <v>5</v>
      </c>
      <c r="B6" s="4" t="s">
        <v>23</v>
      </c>
      <c r="C6" s="4" t="s">
        <v>38</v>
      </c>
      <c r="D6" s="4" t="s">
        <v>10</v>
      </c>
      <c r="E6" s="4" t="s">
        <v>177</v>
      </c>
      <c r="F6" s="5">
        <v>5.6</v>
      </c>
      <c r="G6" s="5">
        <v>5.0</v>
      </c>
      <c r="H6" s="6" t="s">
        <v>178</v>
      </c>
      <c r="I6" s="6" t="s">
        <v>179</v>
      </c>
      <c r="J6" s="7"/>
      <c r="K6" s="9"/>
      <c r="L6" s="7"/>
      <c r="M6" s="7"/>
      <c r="N6" s="7"/>
      <c r="O6" s="7"/>
      <c r="P6" s="7"/>
      <c r="Q6" s="7"/>
      <c r="U6" s="8" t="str">
        <f t="shared" si="1"/>
        <v/>
      </c>
      <c r="V6" s="8" t="str">
        <f t="shared" si="2"/>
        <v>#N/A</v>
      </c>
      <c r="W6" s="8">
        <f t="shared" si="3"/>
        <v>5.6</v>
      </c>
      <c r="X6" s="8">
        <f t="shared" si="4"/>
        <v>4</v>
      </c>
    </row>
    <row r="7">
      <c r="A7" s="4">
        <f t="shared" si="5"/>
        <v>6</v>
      </c>
      <c r="B7" s="4" t="s">
        <v>23</v>
      </c>
      <c r="C7" s="4" t="s">
        <v>13</v>
      </c>
      <c r="D7" s="4" t="s">
        <v>8</v>
      </c>
      <c r="E7" s="4" t="s">
        <v>180</v>
      </c>
      <c r="F7" s="5">
        <v>8.2</v>
      </c>
      <c r="G7" s="5">
        <v>1.0</v>
      </c>
      <c r="H7" s="7"/>
      <c r="I7" s="7"/>
      <c r="J7" s="7"/>
      <c r="K7" s="7"/>
      <c r="L7" s="7"/>
      <c r="M7" s="7"/>
      <c r="N7" s="7"/>
      <c r="O7" s="7"/>
      <c r="P7" s="7"/>
      <c r="Q7" s="7"/>
      <c r="U7" s="8">
        <f t="shared" si="1"/>
        <v>8.2</v>
      </c>
      <c r="V7" s="8">
        <f t="shared" si="2"/>
        <v>2</v>
      </c>
      <c r="W7" s="8" t="str">
        <f t="shared" si="3"/>
        <v/>
      </c>
      <c r="X7" s="8" t="str">
        <f t="shared" si="4"/>
        <v>#N/A</v>
      </c>
    </row>
    <row r="8">
      <c r="A8" s="4">
        <f t="shared" si="5"/>
        <v>7</v>
      </c>
      <c r="B8" s="4" t="s">
        <v>19</v>
      </c>
      <c r="C8" s="4" t="s">
        <v>19</v>
      </c>
      <c r="D8" s="4" t="s">
        <v>8</v>
      </c>
      <c r="E8" s="4" t="s">
        <v>181</v>
      </c>
      <c r="F8" s="5">
        <v>0.7</v>
      </c>
      <c r="G8" s="5">
        <v>2.0</v>
      </c>
      <c r="H8" s="7"/>
      <c r="I8" s="7"/>
      <c r="J8" s="7"/>
      <c r="K8" s="7"/>
      <c r="L8" s="7"/>
      <c r="M8" s="7"/>
      <c r="N8" s="7"/>
      <c r="O8" s="7"/>
      <c r="P8" s="7"/>
      <c r="Q8" s="7"/>
      <c r="U8" s="8">
        <f t="shared" si="1"/>
        <v>0.7</v>
      </c>
      <c r="V8" s="8">
        <f t="shared" si="2"/>
        <v>94</v>
      </c>
      <c r="W8" s="8" t="str">
        <f t="shared" si="3"/>
        <v/>
      </c>
      <c r="X8" s="8" t="str">
        <f t="shared" si="4"/>
        <v>#N/A</v>
      </c>
    </row>
    <row r="9">
      <c r="A9" s="4">
        <f t="shared" si="5"/>
        <v>8</v>
      </c>
      <c r="B9" s="4" t="s">
        <v>25</v>
      </c>
      <c r="C9" s="4" t="s">
        <v>19</v>
      </c>
      <c r="D9" s="4" t="s">
        <v>10</v>
      </c>
      <c r="E9" s="4" t="s">
        <v>182</v>
      </c>
      <c r="F9" s="5">
        <v>5.8</v>
      </c>
      <c r="G9" s="5">
        <v>2.0</v>
      </c>
      <c r="H9" s="6" t="s">
        <v>183</v>
      </c>
      <c r="I9" s="6" t="s">
        <v>56</v>
      </c>
      <c r="J9" s="3" t="s">
        <v>184</v>
      </c>
      <c r="K9" s="6" t="s">
        <v>185</v>
      </c>
      <c r="L9" s="7"/>
      <c r="M9" s="7"/>
      <c r="N9" s="7"/>
      <c r="O9" s="7"/>
      <c r="P9" s="7"/>
      <c r="Q9" s="7"/>
      <c r="U9" s="8" t="str">
        <f t="shared" si="1"/>
        <v/>
      </c>
      <c r="V9" s="8" t="str">
        <f t="shared" si="2"/>
        <v>#N/A</v>
      </c>
      <c r="W9" s="8">
        <f t="shared" si="3"/>
        <v>5.8</v>
      </c>
      <c r="X9" s="8">
        <f t="shared" si="4"/>
        <v>3</v>
      </c>
    </row>
    <row r="10">
      <c r="A10" s="4">
        <f t="shared" si="5"/>
        <v>9</v>
      </c>
      <c r="B10" s="4" t="s">
        <v>25</v>
      </c>
      <c r="C10" s="4" t="s">
        <v>38</v>
      </c>
      <c r="D10" s="4" t="s">
        <v>8</v>
      </c>
      <c r="E10" s="4" t="s">
        <v>186</v>
      </c>
      <c r="F10" s="5">
        <v>3.6</v>
      </c>
      <c r="G10" s="5">
        <v>1.0</v>
      </c>
      <c r="H10" s="7"/>
      <c r="I10" s="7"/>
      <c r="J10" s="7"/>
      <c r="K10" s="7"/>
      <c r="L10" s="7"/>
      <c r="M10" s="7"/>
      <c r="N10" s="7"/>
      <c r="O10" s="7"/>
      <c r="P10" s="7"/>
      <c r="Q10" s="7"/>
      <c r="U10" s="8">
        <f t="shared" si="1"/>
        <v>3.6</v>
      </c>
      <c r="V10" s="8">
        <f t="shared" si="2"/>
        <v>17</v>
      </c>
      <c r="W10" s="8" t="str">
        <f t="shared" si="3"/>
        <v/>
      </c>
      <c r="X10" s="8" t="str">
        <f t="shared" si="4"/>
        <v>#N/A</v>
      </c>
    </row>
    <row r="11">
      <c r="A11" s="4">
        <f t="shared" si="5"/>
        <v>10</v>
      </c>
      <c r="B11" s="4" t="s">
        <v>48</v>
      </c>
      <c r="C11" s="4" t="s">
        <v>33</v>
      </c>
      <c r="D11" s="4" t="s">
        <v>10</v>
      </c>
      <c r="E11" s="4" t="s">
        <v>187</v>
      </c>
      <c r="F11" s="5">
        <v>3.2</v>
      </c>
      <c r="G11" s="5">
        <v>3.0</v>
      </c>
      <c r="H11" s="7"/>
      <c r="I11" s="7"/>
      <c r="J11" s="7"/>
      <c r="K11" s="7"/>
      <c r="L11" s="7"/>
      <c r="M11" s="7"/>
      <c r="N11" s="7"/>
      <c r="O11" s="7"/>
      <c r="P11" s="7"/>
      <c r="Q11" s="7"/>
      <c r="U11" s="8" t="str">
        <f t="shared" si="1"/>
        <v/>
      </c>
      <c r="V11" s="8" t="str">
        <f t="shared" si="2"/>
        <v>#N/A</v>
      </c>
      <c r="W11" s="8">
        <f t="shared" si="3"/>
        <v>3.2</v>
      </c>
      <c r="X11" s="8">
        <f t="shared" si="4"/>
        <v>11</v>
      </c>
    </row>
    <row r="12">
      <c r="A12" s="4">
        <f t="shared" si="5"/>
        <v>11</v>
      </c>
      <c r="B12" s="4" t="s">
        <v>48</v>
      </c>
      <c r="C12" s="4" t="s">
        <v>37</v>
      </c>
      <c r="D12" s="4" t="s">
        <v>8</v>
      </c>
      <c r="E12" s="4" t="s">
        <v>76</v>
      </c>
      <c r="F12" s="5">
        <v>5.4</v>
      </c>
      <c r="G12" s="5">
        <v>1.0</v>
      </c>
      <c r="H12" s="7"/>
      <c r="I12" s="7"/>
      <c r="J12" s="7"/>
      <c r="K12" s="7"/>
      <c r="L12" s="7"/>
      <c r="M12" s="7"/>
      <c r="N12" s="7"/>
      <c r="O12" s="7"/>
      <c r="P12" s="7"/>
      <c r="Q12" s="7"/>
      <c r="U12" s="8">
        <f t="shared" si="1"/>
        <v>5.4</v>
      </c>
      <c r="V12" s="8">
        <f t="shared" si="2"/>
        <v>8</v>
      </c>
      <c r="W12" s="8" t="str">
        <f t="shared" si="3"/>
        <v/>
      </c>
      <c r="X12" s="8" t="str">
        <f t="shared" si="4"/>
        <v>#N/A</v>
      </c>
    </row>
    <row r="13">
      <c r="A13" s="4">
        <f t="shared" si="5"/>
        <v>12</v>
      </c>
      <c r="B13" s="4" t="s">
        <v>37</v>
      </c>
      <c r="C13" s="4" t="s">
        <v>12</v>
      </c>
      <c r="D13" s="4" t="s">
        <v>10</v>
      </c>
      <c r="E13" s="4" t="s">
        <v>188</v>
      </c>
      <c r="F13" s="5">
        <v>6.4</v>
      </c>
      <c r="G13" s="5">
        <v>3.0</v>
      </c>
      <c r="H13" s="7"/>
      <c r="I13" s="7"/>
      <c r="J13" s="7"/>
      <c r="K13" s="7"/>
      <c r="L13" s="7"/>
      <c r="M13" s="7"/>
      <c r="N13" s="7"/>
      <c r="O13" s="7"/>
      <c r="P13" s="7"/>
      <c r="Q13" s="7"/>
      <c r="U13" s="8" t="str">
        <f t="shared" si="1"/>
        <v/>
      </c>
      <c r="V13" s="8" t="str">
        <f t="shared" si="2"/>
        <v>#N/A</v>
      </c>
      <c r="W13" s="8">
        <f t="shared" si="3"/>
        <v>6.4</v>
      </c>
      <c r="X13" s="8">
        <f t="shared" si="4"/>
        <v>2</v>
      </c>
    </row>
    <row r="14">
      <c r="A14" s="4">
        <f t="shared" si="5"/>
        <v>13</v>
      </c>
      <c r="B14" s="4" t="s">
        <v>37</v>
      </c>
      <c r="C14" s="4" t="s">
        <v>27</v>
      </c>
      <c r="D14" s="4" t="s">
        <v>8</v>
      </c>
      <c r="E14" s="4" t="s">
        <v>189</v>
      </c>
      <c r="F14" s="5">
        <v>2.5</v>
      </c>
      <c r="G14" s="5">
        <v>2.0</v>
      </c>
      <c r="H14" s="7"/>
      <c r="I14" s="7"/>
      <c r="J14" s="7"/>
      <c r="K14" s="7"/>
      <c r="L14" s="7"/>
      <c r="M14" s="7"/>
      <c r="N14" s="7"/>
      <c r="O14" s="7"/>
      <c r="P14" s="7"/>
      <c r="Q14" s="7"/>
      <c r="U14" s="8">
        <f t="shared" si="1"/>
        <v>2.5</v>
      </c>
      <c r="V14" s="8">
        <f t="shared" si="2"/>
        <v>34</v>
      </c>
      <c r="W14" s="8" t="str">
        <f t="shared" si="3"/>
        <v/>
      </c>
      <c r="X14" s="8" t="str">
        <f t="shared" si="4"/>
        <v>#N/A</v>
      </c>
    </row>
    <row r="15">
      <c r="A15" s="4">
        <f t="shared" si="5"/>
        <v>14</v>
      </c>
      <c r="B15" s="4" t="s">
        <v>27</v>
      </c>
      <c r="C15" s="4" t="s">
        <v>12</v>
      </c>
      <c r="D15" s="4" t="s">
        <v>10</v>
      </c>
      <c r="E15" s="4" t="s">
        <v>190</v>
      </c>
      <c r="F15" s="5">
        <v>11.4</v>
      </c>
      <c r="G15" s="5">
        <v>7.0</v>
      </c>
      <c r="H15" s="7"/>
      <c r="I15" s="7"/>
      <c r="J15" s="7"/>
      <c r="K15" s="7"/>
      <c r="L15" s="7"/>
      <c r="M15" s="7"/>
      <c r="N15" s="7"/>
      <c r="O15" s="7"/>
      <c r="P15" s="7"/>
      <c r="Q15" s="7"/>
      <c r="U15" s="8" t="str">
        <f t="shared" si="1"/>
        <v/>
      </c>
      <c r="V15" s="8" t="str">
        <f t="shared" si="2"/>
        <v>#N/A</v>
      </c>
      <c r="W15" s="8">
        <f t="shared" si="3"/>
        <v>11.4</v>
      </c>
      <c r="X15" s="8">
        <f t="shared" si="4"/>
        <v>1</v>
      </c>
    </row>
    <row r="16">
      <c r="A16" s="4">
        <f t="shared" si="5"/>
        <v>15</v>
      </c>
      <c r="B16" s="4" t="s">
        <v>27</v>
      </c>
      <c r="C16" s="4" t="s">
        <v>38</v>
      </c>
      <c r="D16" s="4" t="s">
        <v>8</v>
      </c>
      <c r="E16" s="4" t="s">
        <v>106</v>
      </c>
      <c r="F16" s="5">
        <v>5.0</v>
      </c>
      <c r="G16" s="5">
        <v>1.0</v>
      </c>
      <c r="H16" s="7"/>
      <c r="I16" s="7"/>
      <c r="J16" s="7"/>
      <c r="K16" s="7"/>
      <c r="L16" s="7"/>
      <c r="M16" s="7"/>
      <c r="N16" s="7"/>
      <c r="O16" s="7"/>
      <c r="P16" s="7"/>
      <c r="Q16" s="7"/>
      <c r="U16" s="8">
        <f t="shared" si="1"/>
        <v>5</v>
      </c>
      <c r="V16" s="8">
        <f t="shared" si="2"/>
        <v>11</v>
      </c>
      <c r="W16" s="8" t="str">
        <f t="shared" si="3"/>
        <v/>
      </c>
      <c r="X16" s="8" t="str">
        <f t="shared" si="4"/>
        <v>#N/A</v>
      </c>
    </row>
    <row r="17">
      <c r="A17" s="4">
        <f t="shared" si="5"/>
        <v>16</v>
      </c>
      <c r="B17" s="4" t="s">
        <v>21</v>
      </c>
      <c r="C17" s="4" t="s">
        <v>25</v>
      </c>
      <c r="D17" s="4" t="s">
        <v>10</v>
      </c>
      <c r="E17" s="4" t="s">
        <v>191</v>
      </c>
      <c r="F17" s="5">
        <v>5.5</v>
      </c>
      <c r="G17" s="5">
        <v>3.0</v>
      </c>
      <c r="H17" s="6" t="s">
        <v>192</v>
      </c>
      <c r="I17" s="6" t="s">
        <v>193</v>
      </c>
      <c r="J17" s="7"/>
      <c r="K17" s="7"/>
      <c r="L17" s="7"/>
      <c r="M17" s="7"/>
      <c r="N17" s="7"/>
      <c r="O17" s="7"/>
      <c r="P17" s="7"/>
      <c r="Q17" s="7"/>
      <c r="U17" s="8" t="str">
        <f t="shared" si="1"/>
        <v/>
      </c>
      <c r="V17" s="8" t="str">
        <f t="shared" si="2"/>
        <v>#N/A</v>
      </c>
      <c r="W17" s="8">
        <f t="shared" si="3"/>
        <v>5.5</v>
      </c>
      <c r="X17" s="8">
        <f t="shared" si="4"/>
        <v>8</v>
      </c>
    </row>
    <row r="18">
      <c r="A18" s="4">
        <f t="shared" si="5"/>
        <v>17</v>
      </c>
      <c r="B18" s="4" t="s">
        <v>21</v>
      </c>
      <c r="C18" s="4" t="s">
        <v>21</v>
      </c>
      <c r="D18" s="4" t="s">
        <v>8</v>
      </c>
      <c r="E18" s="4" t="s">
        <v>124</v>
      </c>
      <c r="F18" s="5">
        <v>2.0</v>
      </c>
      <c r="G18" s="5">
        <v>1.0</v>
      </c>
      <c r="H18" s="7"/>
      <c r="I18" s="7"/>
      <c r="J18" s="7"/>
      <c r="K18" s="7"/>
      <c r="L18" s="7"/>
      <c r="M18" s="7"/>
      <c r="N18" s="7"/>
      <c r="O18" s="7"/>
      <c r="P18" s="7"/>
      <c r="Q18" s="7"/>
      <c r="U18" s="8">
        <f t="shared" si="1"/>
        <v>2</v>
      </c>
      <c r="V18" s="8">
        <f t="shared" si="2"/>
        <v>43</v>
      </c>
      <c r="W18" s="8" t="str">
        <f t="shared" si="3"/>
        <v/>
      </c>
      <c r="X18" s="8" t="str">
        <f t="shared" si="4"/>
        <v>#N/A</v>
      </c>
    </row>
    <row r="19">
      <c r="A19" s="4">
        <f t="shared" si="5"/>
        <v>18</v>
      </c>
      <c r="B19" s="4" t="s">
        <v>33</v>
      </c>
      <c r="C19" s="4" t="s">
        <v>33</v>
      </c>
      <c r="D19" s="4" t="s">
        <v>10</v>
      </c>
      <c r="E19" s="4" t="s">
        <v>194</v>
      </c>
      <c r="F19" s="5">
        <v>5.6</v>
      </c>
      <c r="G19" s="5">
        <v>3.0</v>
      </c>
      <c r="H19" s="6" t="s">
        <v>195</v>
      </c>
      <c r="I19" s="6" t="s">
        <v>196</v>
      </c>
      <c r="J19" s="7"/>
      <c r="K19" s="7"/>
      <c r="L19" s="7"/>
      <c r="M19" s="7"/>
      <c r="N19" s="7"/>
      <c r="O19" s="7"/>
      <c r="P19" s="7"/>
      <c r="Q19" s="7"/>
      <c r="U19" s="8" t="str">
        <f t="shared" si="1"/>
        <v/>
      </c>
      <c r="V19" s="8" t="str">
        <f t="shared" si="2"/>
        <v>#N/A</v>
      </c>
      <c r="W19" s="8">
        <f t="shared" si="3"/>
        <v>5.6</v>
      </c>
      <c r="X19" s="8">
        <f t="shared" si="4"/>
        <v>4</v>
      </c>
    </row>
    <row r="20">
      <c r="A20" s="4">
        <f t="shared" si="5"/>
        <v>19</v>
      </c>
      <c r="B20" s="4" t="s">
        <v>33</v>
      </c>
      <c r="C20" s="4" t="s">
        <v>19</v>
      </c>
      <c r="D20" s="4" t="s">
        <v>8</v>
      </c>
      <c r="E20" s="4" t="s">
        <v>85</v>
      </c>
      <c r="F20" s="5">
        <v>5.7</v>
      </c>
      <c r="G20" s="5">
        <v>1.0</v>
      </c>
      <c r="H20" s="7"/>
      <c r="I20" s="7"/>
      <c r="J20" s="7"/>
      <c r="K20" s="7"/>
      <c r="L20" s="7"/>
      <c r="M20" s="7"/>
      <c r="N20" s="7"/>
      <c r="O20" s="7"/>
      <c r="P20" s="7"/>
      <c r="Q20" s="7"/>
      <c r="U20" s="8">
        <f t="shared" si="1"/>
        <v>5.7</v>
      </c>
      <c r="V20" s="8">
        <f t="shared" si="2"/>
        <v>5</v>
      </c>
      <c r="W20" s="8" t="str">
        <f t="shared" si="3"/>
        <v/>
      </c>
      <c r="X20" s="8" t="str">
        <f t="shared" si="4"/>
        <v>#N/A</v>
      </c>
    </row>
    <row r="21">
      <c r="A21" s="4">
        <f t="shared" si="5"/>
        <v>20</v>
      </c>
      <c r="B21" s="4" t="s">
        <v>38</v>
      </c>
      <c r="C21" s="4" t="s">
        <v>48</v>
      </c>
      <c r="D21" s="4" t="s">
        <v>10</v>
      </c>
      <c r="E21" s="4" t="s">
        <v>64</v>
      </c>
      <c r="F21" s="5">
        <v>4.9</v>
      </c>
      <c r="G21" s="5">
        <v>1.0</v>
      </c>
      <c r="H21" s="6"/>
      <c r="K21" s="7"/>
      <c r="L21" s="7"/>
      <c r="M21" s="7"/>
      <c r="N21" s="7"/>
      <c r="O21" s="7"/>
      <c r="P21" s="7"/>
      <c r="Q21" s="7"/>
      <c r="U21" s="8" t="str">
        <f t="shared" si="1"/>
        <v/>
      </c>
      <c r="V21" s="8" t="str">
        <f t="shared" si="2"/>
        <v>#N/A</v>
      </c>
      <c r="W21" s="8">
        <f t="shared" si="3"/>
        <v>4.9</v>
      </c>
      <c r="X21" s="8">
        <f t="shared" si="4"/>
        <v>9</v>
      </c>
    </row>
    <row r="22">
      <c r="A22" s="4">
        <f t="shared" si="5"/>
        <v>21</v>
      </c>
      <c r="B22" s="4" t="s">
        <v>38</v>
      </c>
      <c r="C22" s="4" t="s">
        <v>13</v>
      </c>
      <c r="D22" s="4" t="s">
        <v>8</v>
      </c>
      <c r="E22" s="4" t="s">
        <v>93</v>
      </c>
      <c r="F22" s="5">
        <v>2.2</v>
      </c>
      <c r="G22" s="5">
        <v>1.0</v>
      </c>
      <c r="H22" s="7"/>
      <c r="I22" s="7"/>
      <c r="J22" s="7"/>
      <c r="K22" s="7"/>
      <c r="L22" s="7"/>
      <c r="M22" s="7"/>
      <c r="N22" s="7"/>
      <c r="O22" s="7"/>
      <c r="P22" s="7"/>
      <c r="Q22" s="7"/>
      <c r="U22" s="8">
        <f t="shared" si="1"/>
        <v>2.2</v>
      </c>
      <c r="V22" s="8">
        <f t="shared" si="2"/>
        <v>37</v>
      </c>
      <c r="W22" s="8" t="str">
        <f t="shared" si="3"/>
        <v/>
      </c>
      <c r="X22" s="8" t="str">
        <f t="shared" si="4"/>
        <v>#N/A</v>
      </c>
    </row>
    <row r="23">
      <c r="A23" s="4">
        <f t="shared" si="5"/>
        <v>22</v>
      </c>
      <c r="B23" s="4" t="s">
        <v>12</v>
      </c>
      <c r="C23" s="4" t="s">
        <v>27</v>
      </c>
      <c r="D23" s="4" t="s">
        <v>10</v>
      </c>
      <c r="E23" s="4" t="s">
        <v>197</v>
      </c>
      <c r="F23" s="5">
        <v>2.4</v>
      </c>
      <c r="G23" s="5">
        <v>2.0</v>
      </c>
      <c r="H23" s="7"/>
      <c r="I23" s="7"/>
      <c r="J23" s="7"/>
      <c r="K23" s="7"/>
      <c r="L23" s="7"/>
      <c r="M23" s="7"/>
      <c r="N23" s="7"/>
      <c r="O23" s="7"/>
      <c r="P23" s="7"/>
      <c r="Q23" s="7"/>
      <c r="U23" s="8" t="str">
        <f t="shared" si="1"/>
        <v/>
      </c>
      <c r="V23" s="8" t="str">
        <f t="shared" si="2"/>
        <v>#N/A</v>
      </c>
      <c r="W23" s="8">
        <f t="shared" si="3"/>
        <v>2.4</v>
      </c>
      <c r="X23" s="8">
        <f t="shared" si="4"/>
        <v>12</v>
      </c>
    </row>
    <row r="24">
      <c r="A24" s="4">
        <f t="shared" si="5"/>
        <v>23</v>
      </c>
      <c r="B24" s="4" t="s">
        <v>12</v>
      </c>
      <c r="C24" s="4" t="s">
        <v>27</v>
      </c>
      <c r="D24" s="4" t="s">
        <v>8</v>
      </c>
      <c r="E24" s="4" t="s">
        <v>198</v>
      </c>
      <c r="F24" s="5">
        <v>1.8</v>
      </c>
      <c r="G24" s="5">
        <v>2.0</v>
      </c>
      <c r="H24" s="7"/>
      <c r="I24" s="7"/>
      <c r="J24" s="7"/>
      <c r="K24" s="7"/>
      <c r="L24" s="7"/>
      <c r="M24" s="7"/>
      <c r="N24" s="7"/>
      <c r="O24" s="7"/>
      <c r="P24" s="7"/>
      <c r="Q24" s="7"/>
      <c r="U24" s="8">
        <f t="shared" si="1"/>
        <v>1.8</v>
      </c>
      <c r="V24" s="8">
        <f t="shared" si="2"/>
        <v>48</v>
      </c>
      <c r="W24" s="8" t="str">
        <f t="shared" si="3"/>
        <v/>
      </c>
      <c r="X24" s="8" t="str">
        <f t="shared" si="4"/>
        <v>#N/A</v>
      </c>
    </row>
    <row r="25">
      <c r="A25" s="4">
        <f t="shared" si="5"/>
        <v>24</v>
      </c>
      <c r="B25" s="4" t="s">
        <v>13</v>
      </c>
      <c r="C25" s="4" t="s">
        <v>27</v>
      </c>
      <c r="D25" s="4" t="s">
        <v>8</v>
      </c>
      <c r="E25" s="4" t="s">
        <v>199</v>
      </c>
      <c r="F25" s="5">
        <v>3.2</v>
      </c>
      <c r="G25" s="5">
        <v>2.0</v>
      </c>
      <c r="H25" s="6" t="s">
        <v>184</v>
      </c>
      <c r="I25" s="6" t="s">
        <v>200</v>
      </c>
      <c r="J25" s="6"/>
      <c r="K25" s="6"/>
      <c r="L25" s="7"/>
      <c r="M25" s="7"/>
      <c r="N25" s="7"/>
      <c r="O25" s="7"/>
      <c r="P25" s="7"/>
      <c r="Q25" s="7"/>
      <c r="U25" s="8">
        <f t="shared" si="1"/>
        <v>3.2</v>
      </c>
      <c r="V25" s="8">
        <f t="shared" si="2"/>
        <v>22</v>
      </c>
      <c r="W25" s="8" t="str">
        <f t="shared" si="3"/>
        <v/>
      </c>
      <c r="X25" s="8" t="str">
        <f t="shared" si="4"/>
        <v>#N/A</v>
      </c>
    </row>
    <row r="26">
      <c r="A26" s="4">
        <f t="shared" si="5"/>
        <v>25</v>
      </c>
      <c r="B26" s="4" t="s">
        <v>13</v>
      </c>
      <c r="C26" s="4" t="s">
        <v>12</v>
      </c>
      <c r="D26" s="4" t="s">
        <v>8</v>
      </c>
      <c r="E26" s="4" t="s">
        <v>81</v>
      </c>
      <c r="F26" s="5">
        <v>2.6</v>
      </c>
      <c r="G26" s="5">
        <v>1.0</v>
      </c>
      <c r="H26" s="7"/>
      <c r="I26" s="7"/>
      <c r="J26" s="7"/>
      <c r="K26" s="7"/>
      <c r="L26" s="7"/>
      <c r="M26" s="7"/>
      <c r="N26" s="7"/>
      <c r="O26" s="7"/>
      <c r="P26" s="7"/>
      <c r="Q26" s="7"/>
      <c r="U26" s="8">
        <f t="shared" si="1"/>
        <v>2.6</v>
      </c>
      <c r="V26" s="8">
        <f t="shared" si="2"/>
        <v>32</v>
      </c>
      <c r="W26" s="8" t="str">
        <f t="shared" si="3"/>
        <v/>
      </c>
      <c r="X26" s="8" t="str">
        <f t="shared" si="4"/>
        <v>#N/A</v>
      </c>
    </row>
    <row r="27">
      <c r="A27" s="4">
        <f t="shared" si="5"/>
        <v>26</v>
      </c>
      <c r="B27" s="4" t="s">
        <v>23</v>
      </c>
      <c r="C27" s="4" t="s">
        <v>27</v>
      </c>
      <c r="D27" s="4" t="s">
        <v>10</v>
      </c>
      <c r="E27" s="4" t="s">
        <v>201</v>
      </c>
      <c r="F27" s="5">
        <v>4.5</v>
      </c>
      <c r="G27" s="5">
        <v>5.0</v>
      </c>
      <c r="H27" s="6" t="s">
        <v>202</v>
      </c>
      <c r="I27" s="6" t="s">
        <v>203</v>
      </c>
      <c r="J27" s="6"/>
      <c r="K27" s="6"/>
      <c r="L27" s="7"/>
      <c r="M27" s="7"/>
      <c r="N27" s="7"/>
      <c r="O27" s="7"/>
      <c r="P27" s="7"/>
      <c r="Q27" s="7"/>
      <c r="U27" s="8" t="str">
        <f t="shared" si="1"/>
        <v/>
      </c>
      <c r="V27" s="8" t="str">
        <f t="shared" si="2"/>
        <v>#N/A</v>
      </c>
      <c r="W27" s="8">
        <f t="shared" si="3"/>
        <v>4.5</v>
      </c>
      <c r="X27" s="8">
        <f t="shared" si="4"/>
        <v>10</v>
      </c>
    </row>
    <row r="28">
      <c r="A28" s="4">
        <f t="shared" si="5"/>
        <v>27</v>
      </c>
      <c r="B28" s="4" t="s">
        <v>23</v>
      </c>
      <c r="C28" s="4" t="s">
        <v>13</v>
      </c>
      <c r="D28" s="4" t="s">
        <v>8</v>
      </c>
      <c r="E28" s="4" t="s">
        <v>50</v>
      </c>
      <c r="F28" s="5">
        <v>5.3</v>
      </c>
      <c r="G28" s="5">
        <v>1.0</v>
      </c>
      <c r="H28" s="7"/>
      <c r="I28" s="7"/>
      <c r="J28" s="7"/>
      <c r="K28" s="7"/>
      <c r="L28" s="7"/>
      <c r="M28" s="7"/>
      <c r="N28" s="7"/>
      <c r="O28" s="7"/>
      <c r="P28" s="7"/>
      <c r="Q28" s="7"/>
      <c r="U28" s="8">
        <f t="shared" si="1"/>
        <v>5.3</v>
      </c>
      <c r="V28" s="8">
        <f t="shared" si="2"/>
        <v>10</v>
      </c>
      <c r="W28" s="8" t="str">
        <f t="shared" si="3"/>
        <v/>
      </c>
      <c r="X28" s="8" t="str">
        <f t="shared" si="4"/>
        <v>#N/A</v>
      </c>
    </row>
    <row r="29">
      <c r="A29" s="4">
        <f t="shared" si="5"/>
        <v>28</v>
      </c>
      <c r="B29" s="4" t="s">
        <v>19</v>
      </c>
      <c r="C29" s="4" t="s">
        <v>27</v>
      </c>
      <c r="D29" s="4" t="s">
        <v>8</v>
      </c>
      <c r="E29" s="4" t="s">
        <v>149</v>
      </c>
      <c r="F29" s="5">
        <v>0.9</v>
      </c>
      <c r="G29" s="10">
        <v>1.0</v>
      </c>
      <c r="H29" s="7"/>
      <c r="I29" s="7"/>
      <c r="J29" s="7"/>
      <c r="K29" s="7"/>
      <c r="L29" s="7"/>
      <c r="M29" s="7"/>
      <c r="N29" s="7"/>
      <c r="O29" s="7"/>
      <c r="P29" s="7"/>
      <c r="Q29" s="7"/>
      <c r="U29" s="8">
        <f t="shared" si="1"/>
        <v>0.9</v>
      </c>
      <c r="V29" s="8">
        <f t="shared" si="2"/>
        <v>75</v>
      </c>
      <c r="W29" s="8" t="str">
        <f t="shared" si="3"/>
        <v/>
      </c>
      <c r="X29" s="8" t="str">
        <f t="shared" si="4"/>
        <v>#N/A</v>
      </c>
    </row>
    <row r="30">
      <c r="A30" s="4">
        <f t="shared" si="5"/>
        <v>29</v>
      </c>
      <c r="B30" s="4" t="s">
        <v>25</v>
      </c>
      <c r="C30" s="4" t="s">
        <v>25</v>
      </c>
      <c r="D30" s="4" t="s">
        <v>10</v>
      </c>
      <c r="E30" s="4" t="s">
        <v>204</v>
      </c>
      <c r="F30" s="5">
        <v>0.9</v>
      </c>
      <c r="G30" s="10">
        <v>3.0</v>
      </c>
      <c r="H30" s="11"/>
      <c r="I30" s="7"/>
      <c r="J30" s="7"/>
      <c r="K30" s="7"/>
      <c r="L30" s="7"/>
      <c r="M30" s="7"/>
      <c r="N30" s="7"/>
      <c r="O30" s="7"/>
      <c r="P30" s="7"/>
      <c r="Q30" s="7"/>
      <c r="U30" s="8" t="str">
        <f t="shared" si="1"/>
        <v/>
      </c>
      <c r="V30" s="8" t="str">
        <f t="shared" si="2"/>
        <v>#N/A</v>
      </c>
      <c r="W30" s="8">
        <f t="shared" si="3"/>
        <v>0.9</v>
      </c>
      <c r="X30" s="8">
        <f t="shared" si="4"/>
        <v>17</v>
      </c>
    </row>
    <row r="31">
      <c r="A31" s="4">
        <f t="shared" si="5"/>
        <v>30</v>
      </c>
      <c r="B31" s="4" t="s">
        <v>25</v>
      </c>
      <c r="C31" s="4" t="s">
        <v>23</v>
      </c>
      <c r="D31" s="4" t="s">
        <v>8</v>
      </c>
      <c r="E31" s="4" t="s">
        <v>87</v>
      </c>
      <c r="F31" s="5">
        <v>3.0</v>
      </c>
      <c r="G31" s="10">
        <v>1.0</v>
      </c>
      <c r="H31" s="7"/>
      <c r="I31" s="7"/>
      <c r="J31" s="7"/>
      <c r="K31" s="7"/>
      <c r="L31" s="7"/>
      <c r="M31" s="7"/>
      <c r="N31" s="7"/>
      <c r="O31" s="7"/>
      <c r="P31" s="7"/>
      <c r="Q31" s="7"/>
      <c r="U31" s="8">
        <f t="shared" si="1"/>
        <v>3</v>
      </c>
      <c r="V31" s="8">
        <f t="shared" si="2"/>
        <v>27</v>
      </c>
      <c r="W31" s="8" t="str">
        <f t="shared" si="3"/>
        <v/>
      </c>
      <c r="X31" s="8" t="str">
        <f t="shared" si="4"/>
        <v>#N/A</v>
      </c>
    </row>
    <row r="32">
      <c r="A32" s="4">
        <f t="shared" si="5"/>
        <v>31</v>
      </c>
      <c r="B32" s="4" t="s">
        <v>48</v>
      </c>
      <c r="C32" s="4" t="s">
        <v>48</v>
      </c>
      <c r="D32" s="4" t="s">
        <v>10</v>
      </c>
      <c r="E32" s="4" t="s">
        <v>205</v>
      </c>
      <c r="F32" s="5">
        <v>1.9</v>
      </c>
      <c r="G32" s="10">
        <v>3.0</v>
      </c>
      <c r="H32" s="7"/>
      <c r="I32" s="7"/>
      <c r="J32" s="7"/>
      <c r="K32" s="7"/>
      <c r="L32" s="7"/>
      <c r="M32" s="7"/>
      <c r="N32" s="7"/>
      <c r="O32" s="7"/>
      <c r="P32" s="7"/>
      <c r="Q32" s="7"/>
      <c r="U32" s="8" t="str">
        <f t="shared" si="1"/>
        <v/>
      </c>
      <c r="V32" s="8" t="str">
        <f t="shared" si="2"/>
        <v>#N/A</v>
      </c>
      <c r="W32" s="8">
        <f t="shared" si="3"/>
        <v>1.9</v>
      </c>
      <c r="X32" s="8">
        <f t="shared" si="4"/>
        <v>15</v>
      </c>
    </row>
    <row r="33">
      <c r="A33" s="4">
        <f t="shared" si="5"/>
        <v>32</v>
      </c>
      <c r="B33" s="4" t="s">
        <v>48</v>
      </c>
      <c r="C33" s="4" t="s">
        <v>38</v>
      </c>
      <c r="D33" s="4" t="s">
        <v>8</v>
      </c>
      <c r="E33" s="4" t="s">
        <v>83</v>
      </c>
      <c r="F33" s="5">
        <v>5.7</v>
      </c>
      <c r="G33" s="10">
        <v>1.0</v>
      </c>
      <c r="H33" s="7"/>
      <c r="I33" s="7"/>
      <c r="J33" s="7"/>
      <c r="K33" s="7"/>
      <c r="L33" s="7"/>
      <c r="M33" s="7"/>
      <c r="N33" s="7"/>
      <c r="O33" s="7"/>
      <c r="P33" s="7"/>
      <c r="Q33" s="7"/>
      <c r="U33" s="8">
        <f t="shared" si="1"/>
        <v>5.7</v>
      </c>
      <c r="V33" s="8">
        <f t="shared" si="2"/>
        <v>5</v>
      </c>
      <c r="W33" s="8" t="str">
        <f t="shared" si="3"/>
        <v/>
      </c>
      <c r="X33" s="8" t="str">
        <f t="shared" si="4"/>
        <v>#N/A</v>
      </c>
    </row>
    <row r="34">
      <c r="A34" s="4">
        <f t="shared" si="5"/>
        <v>33</v>
      </c>
      <c r="B34" s="4" t="s">
        <v>37</v>
      </c>
      <c r="C34" s="4" t="s">
        <v>23</v>
      </c>
      <c r="D34" s="4" t="s">
        <v>10</v>
      </c>
      <c r="E34" s="4" t="s">
        <v>206</v>
      </c>
      <c r="F34" s="5">
        <v>0.9</v>
      </c>
      <c r="G34" s="10">
        <v>2.0</v>
      </c>
      <c r="H34" s="7"/>
      <c r="I34" s="7"/>
      <c r="J34" s="7"/>
      <c r="K34" s="7"/>
      <c r="L34" s="7"/>
      <c r="M34" s="7"/>
      <c r="N34" s="7"/>
      <c r="O34" s="7"/>
      <c r="P34" s="7"/>
      <c r="Q34" s="7"/>
      <c r="U34" s="8" t="str">
        <f t="shared" si="1"/>
        <v/>
      </c>
      <c r="V34" s="8" t="str">
        <f t="shared" si="2"/>
        <v>#N/A</v>
      </c>
      <c r="W34" s="8">
        <f t="shared" si="3"/>
        <v>0.9</v>
      </c>
      <c r="X34" s="8">
        <f t="shared" si="4"/>
        <v>17</v>
      </c>
    </row>
    <row r="35">
      <c r="A35" s="4">
        <f t="shared" si="5"/>
        <v>34</v>
      </c>
      <c r="B35" s="4" t="s">
        <v>37</v>
      </c>
      <c r="C35" s="4" t="s">
        <v>21</v>
      </c>
      <c r="D35" s="4" t="s">
        <v>8</v>
      </c>
      <c r="E35" s="4" t="s">
        <v>207</v>
      </c>
      <c r="F35" s="5">
        <v>2.5</v>
      </c>
      <c r="G35" s="10">
        <v>1.0</v>
      </c>
      <c r="H35" s="7"/>
      <c r="I35" s="7"/>
      <c r="J35" s="7"/>
      <c r="K35" s="7"/>
      <c r="L35" s="7"/>
      <c r="M35" s="7"/>
      <c r="N35" s="7"/>
      <c r="O35" s="7"/>
      <c r="P35" s="7"/>
      <c r="Q35" s="7"/>
      <c r="U35" s="8">
        <f t="shared" si="1"/>
        <v>2.5</v>
      </c>
      <c r="V35" s="8">
        <f t="shared" si="2"/>
        <v>34</v>
      </c>
      <c r="W35" s="8" t="str">
        <f t="shared" si="3"/>
        <v/>
      </c>
      <c r="X35" s="8" t="str">
        <f t="shared" si="4"/>
        <v>#N/A</v>
      </c>
    </row>
    <row r="36">
      <c r="A36" s="4">
        <f t="shared" si="5"/>
        <v>35</v>
      </c>
      <c r="B36" s="4" t="s">
        <v>27</v>
      </c>
      <c r="C36" s="4" t="s">
        <v>37</v>
      </c>
      <c r="D36" s="4" t="s">
        <v>10</v>
      </c>
      <c r="E36" s="4" t="s">
        <v>157</v>
      </c>
      <c r="F36" s="5">
        <v>1.2</v>
      </c>
      <c r="G36" s="10">
        <v>1.0</v>
      </c>
      <c r="H36" s="7"/>
      <c r="I36" s="7"/>
      <c r="J36" s="7"/>
      <c r="K36" s="7"/>
      <c r="L36" s="7"/>
      <c r="M36" s="7"/>
      <c r="N36" s="7"/>
      <c r="O36" s="7"/>
      <c r="P36" s="7"/>
      <c r="Q36" s="7"/>
      <c r="U36" s="8" t="str">
        <f t="shared" si="1"/>
        <v/>
      </c>
      <c r="V36" s="8" t="str">
        <f t="shared" si="2"/>
        <v>#N/A</v>
      </c>
      <c r="W36" s="8">
        <f t="shared" si="3"/>
        <v>1.2</v>
      </c>
      <c r="X36" s="8">
        <f t="shared" si="4"/>
        <v>16</v>
      </c>
    </row>
    <row r="37">
      <c r="A37" s="4">
        <f t="shared" si="5"/>
        <v>36</v>
      </c>
      <c r="B37" s="4" t="s">
        <v>27</v>
      </c>
      <c r="C37" s="4" t="s">
        <v>37</v>
      </c>
      <c r="D37" s="4" t="s">
        <v>8</v>
      </c>
      <c r="E37" s="4" t="s">
        <v>208</v>
      </c>
      <c r="F37" s="5">
        <v>5.4</v>
      </c>
      <c r="G37" s="10">
        <v>2.0</v>
      </c>
      <c r="H37" s="7"/>
      <c r="I37" s="7"/>
      <c r="J37" s="7"/>
      <c r="K37" s="7"/>
      <c r="L37" s="7"/>
      <c r="M37" s="7"/>
      <c r="N37" s="7"/>
      <c r="O37" s="7"/>
      <c r="P37" s="7"/>
      <c r="Q37" s="7"/>
      <c r="U37" s="8">
        <f t="shared" si="1"/>
        <v>5.4</v>
      </c>
      <c r="V37" s="8">
        <f t="shared" si="2"/>
        <v>8</v>
      </c>
      <c r="W37" s="8" t="str">
        <f t="shared" si="3"/>
        <v/>
      </c>
      <c r="X37" s="8" t="str">
        <f t="shared" si="4"/>
        <v>#N/A</v>
      </c>
    </row>
    <row r="38">
      <c r="A38" s="4">
        <f t="shared" si="5"/>
        <v>37</v>
      </c>
      <c r="B38" s="4" t="s">
        <v>21</v>
      </c>
      <c r="C38" s="4" t="s">
        <v>37</v>
      </c>
      <c r="D38" s="4" t="s">
        <v>10</v>
      </c>
      <c r="E38" s="4" t="s">
        <v>209</v>
      </c>
      <c r="F38" s="5">
        <v>2.0</v>
      </c>
      <c r="G38" s="10">
        <v>2.0</v>
      </c>
      <c r="H38" s="7"/>
      <c r="I38" s="7"/>
      <c r="J38" s="7"/>
      <c r="K38" s="7"/>
      <c r="L38" s="7"/>
      <c r="M38" s="7"/>
      <c r="N38" s="7"/>
      <c r="O38" s="7"/>
      <c r="P38" s="7"/>
      <c r="Q38" s="7"/>
      <c r="U38" s="8" t="str">
        <f t="shared" si="1"/>
        <v/>
      </c>
      <c r="V38" s="8" t="str">
        <f t="shared" si="2"/>
        <v>#N/A</v>
      </c>
      <c r="W38" s="8">
        <f t="shared" si="3"/>
        <v>2</v>
      </c>
      <c r="X38" s="8">
        <f t="shared" si="4"/>
        <v>14</v>
      </c>
    </row>
    <row r="39">
      <c r="A39" s="4">
        <f t="shared" si="5"/>
        <v>38</v>
      </c>
      <c r="B39" s="4" t="s">
        <v>21</v>
      </c>
      <c r="C39" s="4" t="s">
        <v>38</v>
      </c>
      <c r="D39" s="4" t="s">
        <v>8</v>
      </c>
      <c r="E39" s="4" t="s">
        <v>210</v>
      </c>
      <c r="F39" s="5">
        <v>0.7</v>
      </c>
      <c r="G39" s="10">
        <v>1.0</v>
      </c>
      <c r="H39" s="7"/>
      <c r="I39" s="7"/>
      <c r="J39" s="7"/>
      <c r="K39" s="7"/>
      <c r="L39" s="7"/>
      <c r="M39" s="7"/>
      <c r="N39" s="7"/>
      <c r="O39" s="7"/>
      <c r="P39" s="7"/>
      <c r="Q39" s="7"/>
      <c r="U39" s="8">
        <f t="shared" si="1"/>
        <v>0.7</v>
      </c>
      <c r="V39" s="8">
        <f t="shared" si="2"/>
        <v>94</v>
      </c>
      <c r="W39" s="8" t="str">
        <f t="shared" si="3"/>
        <v/>
      </c>
      <c r="X39" s="8" t="str">
        <f t="shared" si="4"/>
        <v>#N/A</v>
      </c>
    </row>
    <row r="40">
      <c r="A40" s="4">
        <f t="shared" si="5"/>
        <v>39</v>
      </c>
      <c r="B40" s="4" t="s">
        <v>33</v>
      </c>
      <c r="C40" s="4" t="s">
        <v>25</v>
      </c>
      <c r="D40" s="4" t="s">
        <v>10</v>
      </c>
      <c r="E40" s="4" t="s">
        <v>211</v>
      </c>
      <c r="F40" s="5">
        <v>2.4</v>
      </c>
      <c r="G40" s="10">
        <v>4.0</v>
      </c>
      <c r="H40" s="6" t="s">
        <v>212</v>
      </c>
      <c r="I40" s="7"/>
      <c r="J40" s="7"/>
      <c r="K40" s="7"/>
      <c r="L40" s="7"/>
      <c r="M40" s="7"/>
      <c r="N40" s="7"/>
      <c r="O40" s="7"/>
      <c r="P40" s="7"/>
      <c r="Q40" s="7"/>
      <c r="U40" s="8" t="str">
        <f t="shared" si="1"/>
        <v/>
      </c>
      <c r="V40" s="8" t="str">
        <f t="shared" si="2"/>
        <v>#N/A</v>
      </c>
      <c r="W40" s="8">
        <f t="shared" si="3"/>
        <v>2.4</v>
      </c>
      <c r="X40" s="8">
        <f t="shared" si="4"/>
        <v>12</v>
      </c>
    </row>
    <row r="41">
      <c r="A41" s="4">
        <f t="shared" si="5"/>
        <v>40</v>
      </c>
      <c r="B41" s="4" t="s">
        <v>33</v>
      </c>
      <c r="C41" s="4" t="s">
        <v>48</v>
      </c>
      <c r="D41" s="4" t="s">
        <v>8</v>
      </c>
      <c r="E41" s="4" t="s">
        <v>70</v>
      </c>
      <c r="F41" s="5">
        <v>6.8</v>
      </c>
      <c r="G41" s="10">
        <v>1.0</v>
      </c>
      <c r="H41" s="11"/>
      <c r="I41" s="7"/>
      <c r="J41" s="7"/>
      <c r="K41" s="7"/>
      <c r="L41" s="7"/>
      <c r="M41" s="7"/>
      <c r="N41" s="7"/>
      <c r="O41" s="7"/>
      <c r="P41" s="7"/>
      <c r="Q41" s="7"/>
      <c r="U41" s="8">
        <f t="shared" si="1"/>
        <v>6.8</v>
      </c>
      <c r="V41" s="8">
        <f t="shared" si="2"/>
        <v>3</v>
      </c>
      <c r="W41" s="8" t="str">
        <f t="shared" si="3"/>
        <v/>
      </c>
      <c r="X41" s="8" t="str">
        <f t="shared" si="4"/>
        <v>#N/A</v>
      </c>
    </row>
    <row r="42">
      <c r="A42" s="4">
        <f t="shared" si="5"/>
        <v>41</v>
      </c>
      <c r="B42" s="4" t="s">
        <v>38</v>
      </c>
      <c r="C42" s="4" t="s">
        <v>19</v>
      </c>
      <c r="D42" s="4" t="s">
        <v>10</v>
      </c>
      <c r="E42" s="4" t="s">
        <v>213</v>
      </c>
      <c r="F42" s="5">
        <v>0.6</v>
      </c>
      <c r="G42" s="10">
        <v>1.0</v>
      </c>
      <c r="H42" s="7"/>
      <c r="I42" s="7"/>
      <c r="J42" s="7"/>
      <c r="K42" s="7"/>
      <c r="L42" s="7"/>
      <c r="M42" s="7"/>
      <c r="N42" s="7"/>
      <c r="O42" s="7"/>
      <c r="P42" s="7"/>
      <c r="Q42" s="7"/>
      <c r="U42" s="8" t="str">
        <f t="shared" si="1"/>
        <v/>
      </c>
      <c r="V42" s="8" t="str">
        <f t="shared" si="2"/>
        <v>#N/A</v>
      </c>
      <c r="W42" s="8">
        <f t="shared" si="3"/>
        <v>0.6</v>
      </c>
      <c r="X42" s="8">
        <f t="shared" si="4"/>
        <v>20</v>
      </c>
    </row>
    <row r="43">
      <c r="A43" s="4">
        <f t="shared" si="5"/>
        <v>42</v>
      </c>
      <c r="B43" s="4" t="s">
        <v>38</v>
      </c>
      <c r="C43" s="4" t="s">
        <v>48</v>
      </c>
      <c r="D43" s="4" t="s">
        <v>8</v>
      </c>
      <c r="E43" s="4" t="s">
        <v>214</v>
      </c>
      <c r="F43" s="5">
        <v>0.8</v>
      </c>
      <c r="G43" s="10">
        <v>2.0</v>
      </c>
      <c r="H43" s="7"/>
      <c r="I43" s="7"/>
      <c r="J43" s="7"/>
      <c r="K43" s="7"/>
      <c r="L43" s="7"/>
      <c r="M43" s="7"/>
      <c r="N43" s="7"/>
      <c r="O43" s="7"/>
      <c r="P43" s="7"/>
      <c r="Q43" s="7"/>
      <c r="U43" s="8">
        <f t="shared" si="1"/>
        <v>0.8</v>
      </c>
      <c r="V43" s="8">
        <f t="shared" si="2"/>
        <v>83</v>
      </c>
      <c r="W43" s="8" t="str">
        <f t="shared" si="3"/>
        <v/>
      </c>
      <c r="X43" s="8" t="str">
        <f t="shared" si="4"/>
        <v>#N/A</v>
      </c>
    </row>
    <row r="44">
      <c r="A44" s="4">
        <f t="shared" si="5"/>
        <v>43</v>
      </c>
      <c r="B44" s="4" t="s">
        <v>12</v>
      </c>
      <c r="C44" s="4" t="s">
        <v>37</v>
      </c>
      <c r="D44" s="4" t="s">
        <v>10</v>
      </c>
      <c r="E44" s="4" t="s">
        <v>215</v>
      </c>
      <c r="F44" s="5">
        <v>0.9</v>
      </c>
      <c r="G44" s="10">
        <v>2.0</v>
      </c>
      <c r="H44" s="7"/>
      <c r="I44" s="7"/>
      <c r="J44" s="7"/>
      <c r="K44" s="7"/>
      <c r="L44" s="7"/>
      <c r="M44" s="7"/>
      <c r="N44" s="7"/>
      <c r="O44" s="7"/>
      <c r="P44" s="7"/>
      <c r="Q44" s="7"/>
      <c r="U44" s="8" t="str">
        <f t="shared" si="1"/>
        <v/>
      </c>
      <c r="V44" s="8" t="str">
        <f t="shared" si="2"/>
        <v>#N/A</v>
      </c>
      <c r="W44" s="8">
        <f t="shared" si="3"/>
        <v>0.9</v>
      </c>
      <c r="X44" s="8">
        <f t="shared" si="4"/>
        <v>17</v>
      </c>
    </row>
    <row r="45">
      <c r="A45" s="4">
        <f t="shared" si="5"/>
        <v>44</v>
      </c>
      <c r="B45" s="4" t="s">
        <v>12</v>
      </c>
      <c r="C45" s="4" t="s">
        <v>13</v>
      </c>
      <c r="D45" s="4" t="s">
        <v>8</v>
      </c>
      <c r="E45" s="4" t="s">
        <v>216</v>
      </c>
      <c r="F45" s="5">
        <v>3.0</v>
      </c>
      <c r="G45" s="10">
        <v>1.0</v>
      </c>
      <c r="H45" s="11"/>
      <c r="I45" s="11"/>
      <c r="J45" s="7"/>
      <c r="K45" s="11"/>
      <c r="L45" s="7"/>
      <c r="M45" s="7"/>
      <c r="N45" s="7"/>
      <c r="O45" s="7"/>
      <c r="P45" s="7"/>
      <c r="Q45" s="7"/>
      <c r="U45" s="8">
        <f t="shared" si="1"/>
        <v>3</v>
      </c>
      <c r="V45" s="8">
        <f t="shared" si="2"/>
        <v>27</v>
      </c>
      <c r="W45" s="8" t="str">
        <f t="shared" si="3"/>
        <v/>
      </c>
      <c r="X45" s="8" t="str">
        <f t="shared" si="4"/>
        <v>#N/A</v>
      </c>
    </row>
    <row r="46">
      <c r="A46" s="4">
        <f t="shared" si="5"/>
        <v>45</v>
      </c>
      <c r="B46" s="4" t="s">
        <v>13</v>
      </c>
      <c r="C46" s="4" t="s">
        <v>12</v>
      </c>
      <c r="D46" s="4" t="s">
        <v>10</v>
      </c>
      <c r="E46" s="4" t="s">
        <v>217</v>
      </c>
      <c r="F46" s="5">
        <v>0.5</v>
      </c>
      <c r="G46" s="10">
        <v>1.0</v>
      </c>
      <c r="H46" s="4"/>
      <c r="J46" s="7"/>
      <c r="K46" s="7"/>
      <c r="L46" s="7"/>
      <c r="M46" s="7"/>
      <c r="N46" s="7"/>
      <c r="O46" s="7"/>
      <c r="P46" s="7"/>
      <c r="Q46" s="7"/>
      <c r="U46" s="8" t="str">
        <f t="shared" si="1"/>
        <v/>
      </c>
      <c r="V46" s="8" t="str">
        <f t="shared" si="2"/>
        <v>#N/A</v>
      </c>
      <c r="W46" s="8">
        <f t="shared" si="3"/>
        <v>0.5</v>
      </c>
      <c r="X46" s="8">
        <f t="shared" si="4"/>
        <v>21</v>
      </c>
    </row>
    <row r="47">
      <c r="A47" s="4">
        <f t="shared" si="5"/>
        <v>46</v>
      </c>
      <c r="B47" s="4" t="s">
        <v>13</v>
      </c>
      <c r="C47" s="4" t="s">
        <v>48</v>
      </c>
      <c r="D47" s="4" t="s">
        <v>8</v>
      </c>
      <c r="E47" s="4" t="s">
        <v>218</v>
      </c>
      <c r="F47" s="5">
        <v>3.2</v>
      </c>
      <c r="G47" s="10">
        <v>2.0</v>
      </c>
      <c r="H47" s="7"/>
      <c r="I47" s="7"/>
      <c r="J47" s="7"/>
      <c r="K47" s="11"/>
      <c r="L47" s="11"/>
      <c r="M47" s="7"/>
      <c r="N47" s="7"/>
      <c r="O47" s="7"/>
      <c r="P47" s="7"/>
      <c r="Q47" s="7"/>
      <c r="U47" s="8">
        <f t="shared" si="1"/>
        <v>3.2</v>
      </c>
      <c r="V47" s="8">
        <f t="shared" si="2"/>
        <v>22</v>
      </c>
      <c r="W47" s="8" t="str">
        <f t="shared" si="3"/>
        <v/>
      </c>
      <c r="X47" s="8" t="str">
        <f t="shared" si="4"/>
        <v>#N/A</v>
      </c>
    </row>
    <row r="48">
      <c r="A48" s="4">
        <f t="shared" si="5"/>
        <v>47</v>
      </c>
      <c r="B48" s="4" t="s">
        <v>23</v>
      </c>
      <c r="C48" s="4" t="s">
        <v>13</v>
      </c>
      <c r="D48" s="4" t="s">
        <v>8</v>
      </c>
      <c r="E48" s="4" t="s">
        <v>219</v>
      </c>
      <c r="F48" s="5">
        <v>8.4</v>
      </c>
      <c r="G48" s="10">
        <v>1.0</v>
      </c>
      <c r="H48" s="7"/>
      <c r="I48" s="7"/>
      <c r="J48" s="7"/>
      <c r="K48" s="7"/>
      <c r="L48" s="7"/>
      <c r="M48" s="7"/>
      <c r="N48" s="7"/>
      <c r="O48" s="7"/>
      <c r="P48" s="7"/>
      <c r="Q48" s="7"/>
      <c r="U48" s="8">
        <f t="shared" si="1"/>
        <v>8.4</v>
      </c>
      <c r="V48" s="8">
        <f t="shared" si="2"/>
        <v>1</v>
      </c>
      <c r="W48" s="8" t="str">
        <f t="shared" si="3"/>
        <v/>
      </c>
      <c r="X48" s="8" t="str">
        <f t="shared" si="4"/>
        <v>#N/A</v>
      </c>
    </row>
    <row r="49">
      <c r="A49" s="4">
        <f t="shared" si="5"/>
        <v>48</v>
      </c>
      <c r="B49" s="4" t="s">
        <v>19</v>
      </c>
      <c r="C49" s="4" t="s">
        <v>25</v>
      </c>
      <c r="D49" s="4" t="s">
        <v>8</v>
      </c>
      <c r="E49" s="4" t="s">
        <v>220</v>
      </c>
      <c r="F49" s="5">
        <v>3.2</v>
      </c>
      <c r="G49" s="10">
        <v>2.0</v>
      </c>
      <c r="H49" s="7"/>
      <c r="I49" s="7"/>
      <c r="J49" s="7"/>
      <c r="K49" s="7"/>
      <c r="L49" s="7"/>
      <c r="M49" s="7"/>
      <c r="N49" s="7"/>
      <c r="O49" s="7"/>
      <c r="P49" s="7"/>
      <c r="Q49" s="7"/>
      <c r="U49" s="8">
        <f t="shared" si="1"/>
        <v>3.2</v>
      </c>
      <c r="V49" s="8">
        <f t="shared" si="2"/>
        <v>22</v>
      </c>
      <c r="W49" s="8" t="str">
        <f t="shared" si="3"/>
        <v/>
      </c>
      <c r="X49" s="8" t="str">
        <f t="shared" si="4"/>
        <v>#N/A</v>
      </c>
    </row>
    <row r="50">
      <c r="A50" s="4">
        <f t="shared" si="5"/>
        <v>49</v>
      </c>
      <c r="B50" s="4" t="s">
        <v>25</v>
      </c>
      <c r="C50" s="4" t="s">
        <v>48</v>
      </c>
      <c r="D50" s="4" t="s">
        <v>8</v>
      </c>
      <c r="E50" s="4" t="s">
        <v>221</v>
      </c>
      <c r="F50" s="5">
        <v>3.5</v>
      </c>
      <c r="G50" s="10">
        <v>2.0</v>
      </c>
      <c r="H50" s="4"/>
      <c r="L50" s="7"/>
      <c r="M50" s="7"/>
      <c r="N50" s="7"/>
      <c r="O50" s="7"/>
      <c r="P50" s="7"/>
      <c r="Q50" s="7"/>
      <c r="U50" s="8">
        <f t="shared" si="1"/>
        <v>3.5</v>
      </c>
      <c r="V50" s="8">
        <f t="shared" si="2"/>
        <v>19</v>
      </c>
      <c r="W50" s="8" t="str">
        <f t="shared" si="3"/>
        <v/>
      </c>
      <c r="X50" s="8" t="str">
        <f t="shared" si="4"/>
        <v>#N/A</v>
      </c>
    </row>
    <row r="51">
      <c r="A51" s="4">
        <f t="shared" si="5"/>
        <v>50</v>
      </c>
      <c r="B51" s="4" t="s">
        <v>48</v>
      </c>
      <c r="C51" s="4" t="s">
        <v>27</v>
      </c>
      <c r="D51" s="4" t="s">
        <v>8</v>
      </c>
      <c r="E51" s="4" t="s">
        <v>68</v>
      </c>
      <c r="F51" s="5">
        <v>2.9</v>
      </c>
      <c r="G51" s="10">
        <v>1.0</v>
      </c>
      <c r="H51" s="7"/>
      <c r="I51" s="7"/>
      <c r="J51" s="7"/>
      <c r="K51" s="7"/>
      <c r="L51" s="7"/>
      <c r="M51" s="7"/>
      <c r="N51" s="7"/>
      <c r="O51" s="7"/>
      <c r="P51" s="7"/>
      <c r="Q51" s="7"/>
      <c r="U51" s="8">
        <f t="shared" si="1"/>
        <v>2.9</v>
      </c>
      <c r="V51" s="8">
        <f t="shared" si="2"/>
        <v>30</v>
      </c>
      <c r="W51" s="8" t="str">
        <f t="shared" si="3"/>
        <v/>
      </c>
      <c r="X51" s="8" t="str">
        <f t="shared" si="4"/>
        <v>#N/A</v>
      </c>
    </row>
    <row r="52">
      <c r="A52" s="4">
        <f t="shared" si="5"/>
        <v>51</v>
      </c>
      <c r="B52" s="4" t="s">
        <v>37</v>
      </c>
      <c r="C52" s="4" t="s">
        <v>27</v>
      </c>
      <c r="D52" s="4" t="s">
        <v>8</v>
      </c>
      <c r="E52" s="4" t="s">
        <v>97</v>
      </c>
      <c r="F52" s="5">
        <v>3.0</v>
      </c>
      <c r="G52" s="10">
        <v>1.0</v>
      </c>
      <c r="H52" s="7"/>
      <c r="I52" s="7"/>
      <c r="J52" s="7"/>
      <c r="K52" s="7"/>
      <c r="L52" s="7"/>
      <c r="M52" s="7"/>
      <c r="N52" s="7"/>
      <c r="O52" s="7"/>
      <c r="P52" s="7"/>
      <c r="Q52" s="7"/>
      <c r="U52" s="8">
        <f t="shared" si="1"/>
        <v>3</v>
      </c>
      <c r="V52" s="8">
        <f t="shared" si="2"/>
        <v>27</v>
      </c>
      <c r="W52" s="8" t="str">
        <f t="shared" si="3"/>
        <v/>
      </c>
      <c r="X52" s="8" t="str">
        <f t="shared" si="4"/>
        <v>#N/A</v>
      </c>
    </row>
    <row r="53">
      <c r="A53" s="4">
        <f t="shared" si="5"/>
        <v>52</v>
      </c>
      <c r="B53" s="4" t="s">
        <v>27</v>
      </c>
      <c r="C53" s="4" t="s">
        <v>25</v>
      </c>
      <c r="D53" s="4" t="s">
        <v>8</v>
      </c>
      <c r="E53" s="4" t="s">
        <v>58</v>
      </c>
      <c r="F53" s="5">
        <v>5.6</v>
      </c>
      <c r="G53" s="10">
        <v>1.0</v>
      </c>
      <c r="H53" s="7"/>
      <c r="I53" s="7"/>
      <c r="J53" s="7"/>
      <c r="K53" s="7"/>
      <c r="L53" s="7"/>
      <c r="M53" s="7"/>
      <c r="N53" s="7"/>
      <c r="O53" s="7"/>
      <c r="P53" s="7"/>
      <c r="Q53" s="7"/>
      <c r="U53" s="8">
        <f t="shared" si="1"/>
        <v>5.6</v>
      </c>
      <c r="V53" s="8">
        <f t="shared" si="2"/>
        <v>7</v>
      </c>
      <c r="W53" s="8" t="str">
        <f t="shared" si="3"/>
        <v/>
      </c>
      <c r="X53" s="8" t="str">
        <f t="shared" si="4"/>
        <v>#N/A</v>
      </c>
    </row>
    <row r="54">
      <c r="A54" s="4">
        <f t="shared" si="5"/>
        <v>53</v>
      </c>
      <c r="B54" s="4" t="s">
        <v>21</v>
      </c>
      <c r="C54" s="4" t="s">
        <v>21</v>
      </c>
      <c r="D54" s="4" t="s">
        <v>8</v>
      </c>
      <c r="E54" s="4" t="s">
        <v>145</v>
      </c>
      <c r="F54" s="5">
        <v>2.2</v>
      </c>
      <c r="G54" s="10">
        <v>1.0</v>
      </c>
      <c r="H54" s="7"/>
      <c r="I54" s="7"/>
      <c r="J54" s="7"/>
      <c r="K54" s="7"/>
      <c r="L54" s="7"/>
      <c r="M54" s="7"/>
      <c r="N54" s="7"/>
      <c r="O54" s="7"/>
      <c r="P54" s="7"/>
      <c r="Q54" s="7"/>
      <c r="U54" s="8">
        <f t="shared" si="1"/>
        <v>2.2</v>
      </c>
      <c r="V54" s="8">
        <f t="shared" si="2"/>
        <v>37</v>
      </c>
      <c r="W54" s="8" t="str">
        <f t="shared" si="3"/>
        <v/>
      </c>
      <c r="X54" s="8" t="str">
        <f t="shared" si="4"/>
        <v>#N/A</v>
      </c>
    </row>
    <row r="55">
      <c r="A55" s="4">
        <f t="shared" si="5"/>
        <v>54</v>
      </c>
      <c r="B55" s="4" t="s">
        <v>33</v>
      </c>
      <c r="C55" s="4" t="s">
        <v>19</v>
      </c>
      <c r="D55" s="4" t="s">
        <v>8</v>
      </c>
      <c r="E55" s="4" t="s">
        <v>88</v>
      </c>
      <c r="F55" s="5">
        <v>4.6</v>
      </c>
      <c r="G55" s="10">
        <v>1.0</v>
      </c>
      <c r="H55" s="7"/>
      <c r="I55" s="7"/>
      <c r="J55" s="7"/>
      <c r="K55" s="7"/>
      <c r="L55" s="7"/>
      <c r="M55" s="7"/>
      <c r="N55" s="7"/>
      <c r="O55" s="7"/>
      <c r="P55" s="7"/>
      <c r="Q55" s="7"/>
      <c r="U55" s="8">
        <f t="shared" si="1"/>
        <v>4.6</v>
      </c>
      <c r="V55" s="8">
        <f t="shared" si="2"/>
        <v>13</v>
      </c>
      <c r="W55" s="8" t="str">
        <f t="shared" si="3"/>
        <v/>
      </c>
      <c r="X55" s="8" t="str">
        <f t="shared" si="4"/>
        <v>#N/A</v>
      </c>
    </row>
    <row r="56">
      <c r="A56" s="4">
        <f t="shared" si="5"/>
        <v>55</v>
      </c>
      <c r="B56" s="4" t="s">
        <v>38</v>
      </c>
      <c r="C56" s="4" t="s">
        <v>25</v>
      </c>
      <c r="D56" s="4" t="s">
        <v>8</v>
      </c>
      <c r="E56" s="4" t="s">
        <v>222</v>
      </c>
      <c r="F56" s="5">
        <v>0.8</v>
      </c>
      <c r="G56" s="10">
        <v>1.0</v>
      </c>
      <c r="H56" s="7"/>
      <c r="I56" s="7"/>
      <c r="J56" s="7"/>
      <c r="K56" s="7"/>
      <c r="L56" s="7"/>
      <c r="M56" s="7"/>
      <c r="N56" s="7"/>
      <c r="O56" s="7"/>
      <c r="P56" s="7"/>
      <c r="Q56" s="7"/>
      <c r="U56" s="8">
        <f t="shared" si="1"/>
        <v>0.8</v>
      </c>
      <c r="V56" s="8">
        <f t="shared" si="2"/>
        <v>83</v>
      </c>
      <c r="W56" s="8" t="str">
        <f t="shared" si="3"/>
        <v/>
      </c>
      <c r="X56" s="8" t="str">
        <f t="shared" si="4"/>
        <v>#N/A</v>
      </c>
    </row>
    <row r="57">
      <c r="A57" s="4">
        <f t="shared" si="5"/>
        <v>56</v>
      </c>
      <c r="B57" s="4" t="s">
        <v>12</v>
      </c>
      <c r="C57" s="4" t="s">
        <v>27</v>
      </c>
      <c r="D57" s="4" t="s">
        <v>8</v>
      </c>
      <c r="E57" s="4" t="s">
        <v>60</v>
      </c>
      <c r="F57" s="5">
        <v>3.3</v>
      </c>
      <c r="G57" s="10">
        <v>1.0</v>
      </c>
      <c r="H57" s="7"/>
      <c r="I57" s="7"/>
      <c r="J57" s="7"/>
      <c r="K57" s="7"/>
      <c r="L57" s="7"/>
      <c r="M57" s="7"/>
      <c r="N57" s="7"/>
      <c r="O57" s="7"/>
      <c r="P57" s="7"/>
      <c r="Q57" s="7"/>
      <c r="U57" s="8">
        <f t="shared" si="1"/>
        <v>3.3</v>
      </c>
      <c r="V57" s="8">
        <f t="shared" si="2"/>
        <v>21</v>
      </c>
      <c r="W57" s="8" t="str">
        <f t="shared" si="3"/>
        <v/>
      </c>
      <c r="X57" s="8" t="str">
        <f t="shared" si="4"/>
        <v>#N/A</v>
      </c>
    </row>
    <row r="58">
      <c r="A58" s="4">
        <f t="shared" si="5"/>
        <v>57</v>
      </c>
      <c r="B58" s="4" t="s">
        <v>13</v>
      </c>
      <c r="C58" s="4" t="s">
        <v>21</v>
      </c>
      <c r="D58" s="4" t="s">
        <v>8</v>
      </c>
      <c r="E58" s="4" t="s">
        <v>223</v>
      </c>
      <c r="F58" s="5">
        <v>2.0</v>
      </c>
      <c r="G58" s="10">
        <v>2.0</v>
      </c>
      <c r="H58" s="7"/>
      <c r="I58" s="7"/>
      <c r="J58" s="7"/>
      <c r="K58" s="7"/>
      <c r="L58" s="7"/>
      <c r="M58" s="7"/>
      <c r="N58" s="7"/>
      <c r="O58" s="7"/>
      <c r="P58" s="7"/>
      <c r="Q58" s="7"/>
      <c r="U58" s="8">
        <f t="shared" si="1"/>
        <v>2</v>
      </c>
      <c r="V58" s="8">
        <f t="shared" si="2"/>
        <v>43</v>
      </c>
      <c r="W58" s="8" t="str">
        <f t="shared" si="3"/>
        <v/>
      </c>
      <c r="X58" s="8" t="str">
        <f t="shared" si="4"/>
        <v>#N/A</v>
      </c>
    </row>
    <row r="59">
      <c r="A59" s="4">
        <f t="shared" si="5"/>
        <v>58</v>
      </c>
      <c r="B59" s="4" t="s">
        <v>23</v>
      </c>
      <c r="C59" s="4" t="s">
        <v>21</v>
      </c>
      <c r="D59" s="4" t="s">
        <v>8</v>
      </c>
      <c r="E59" s="4" t="s">
        <v>89</v>
      </c>
      <c r="F59" s="5">
        <v>3.6</v>
      </c>
      <c r="G59" s="10">
        <v>1.0</v>
      </c>
      <c r="H59" s="7"/>
      <c r="I59" s="7"/>
      <c r="J59" s="7"/>
      <c r="K59" s="7"/>
      <c r="L59" s="7"/>
      <c r="M59" s="7"/>
      <c r="N59" s="7"/>
      <c r="O59" s="7"/>
      <c r="P59" s="7"/>
      <c r="Q59" s="7"/>
      <c r="U59" s="8">
        <f t="shared" si="1"/>
        <v>3.6</v>
      </c>
      <c r="V59" s="8">
        <f t="shared" si="2"/>
        <v>17</v>
      </c>
      <c r="W59" s="8" t="str">
        <f t="shared" si="3"/>
        <v/>
      </c>
      <c r="X59" s="8" t="str">
        <f t="shared" si="4"/>
        <v>#N/A</v>
      </c>
    </row>
    <row r="60">
      <c r="A60" s="4">
        <f t="shared" si="5"/>
        <v>59</v>
      </c>
      <c r="B60" s="4" t="s">
        <v>19</v>
      </c>
      <c r="C60" s="4" t="s">
        <v>38</v>
      </c>
      <c r="D60" s="4" t="s">
        <v>8</v>
      </c>
      <c r="E60" s="4" t="s">
        <v>104</v>
      </c>
      <c r="F60" s="5">
        <v>1.2</v>
      </c>
      <c r="G60" s="10">
        <v>1.0</v>
      </c>
      <c r="H60" s="7"/>
      <c r="I60" s="7"/>
      <c r="J60" s="7"/>
      <c r="K60" s="7"/>
      <c r="L60" s="7"/>
      <c r="M60" s="7"/>
      <c r="N60" s="7"/>
      <c r="O60" s="7"/>
      <c r="P60" s="7"/>
      <c r="Q60" s="7"/>
      <c r="U60" s="8">
        <f t="shared" si="1"/>
        <v>1.2</v>
      </c>
      <c r="V60" s="8">
        <f t="shared" si="2"/>
        <v>66</v>
      </c>
      <c r="W60" s="8" t="str">
        <f t="shared" si="3"/>
        <v/>
      </c>
      <c r="X60" s="8" t="str">
        <f t="shared" si="4"/>
        <v>#N/A</v>
      </c>
    </row>
    <row r="61">
      <c r="A61" s="4">
        <f t="shared" si="5"/>
        <v>60</v>
      </c>
      <c r="B61" s="4" t="s">
        <v>25</v>
      </c>
      <c r="C61" s="4" t="s">
        <v>25</v>
      </c>
      <c r="D61" s="4" t="s">
        <v>8</v>
      </c>
      <c r="E61" s="4" t="s">
        <v>224</v>
      </c>
      <c r="F61" s="5">
        <v>3.1</v>
      </c>
      <c r="G61" s="10">
        <v>3.0</v>
      </c>
      <c r="H61" s="7"/>
      <c r="I61" s="7"/>
      <c r="J61" s="7"/>
      <c r="K61" s="7"/>
      <c r="L61" s="7"/>
      <c r="M61" s="7"/>
      <c r="N61" s="7"/>
      <c r="O61" s="7"/>
      <c r="P61" s="7"/>
      <c r="Q61" s="7"/>
      <c r="U61" s="8">
        <f t="shared" si="1"/>
        <v>3.1</v>
      </c>
      <c r="V61" s="8">
        <f t="shared" si="2"/>
        <v>26</v>
      </c>
      <c r="W61" s="8" t="str">
        <f t="shared" si="3"/>
        <v/>
      </c>
      <c r="X61" s="8" t="str">
        <f t="shared" si="4"/>
        <v>#N/A</v>
      </c>
    </row>
    <row r="62">
      <c r="A62" s="4">
        <f t="shared" si="5"/>
        <v>61</v>
      </c>
      <c r="B62" s="4" t="s">
        <v>48</v>
      </c>
      <c r="C62" s="4" t="s">
        <v>21</v>
      </c>
      <c r="D62" s="4" t="s">
        <v>8</v>
      </c>
      <c r="E62" s="4" t="s">
        <v>113</v>
      </c>
      <c r="F62" s="5">
        <v>4.1</v>
      </c>
      <c r="G62" s="10">
        <v>1.0</v>
      </c>
      <c r="H62" s="7"/>
      <c r="I62" s="7"/>
      <c r="J62" s="7"/>
      <c r="K62" s="7"/>
      <c r="L62" s="7"/>
      <c r="M62" s="7"/>
      <c r="N62" s="7"/>
      <c r="O62" s="7"/>
      <c r="P62" s="7"/>
      <c r="Q62" s="7"/>
      <c r="U62" s="8">
        <f t="shared" si="1"/>
        <v>4.1</v>
      </c>
      <c r="V62" s="8">
        <f t="shared" si="2"/>
        <v>15</v>
      </c>
      <c r="W62" s="8" t="str">
        <f t="shared" si="3"/>
        <v/>
      </c>
      <c r="X62" s="8" t="str">
        <f t="shared" si="4"/>
        <v>#N/A</v>
      </c>
    </row>
    <row r="63">
      <c r="A63" s="4">
        <f t="shared" si="5"/>
        <v>62</v>
      </c>
      <c r="B63" s="4" t="s">
        <v>37</v>
      </c>
      <c r="C63" s="4" t="s">
        <v>13</v>
      </c>
      <c r="D63" s="4" t="s">
        <v>8</v>
      </c>
      <c r="E63" s="4" t="s">
        <v>144</v>
      </c>
      <c r="F63" s="5">
        <v>2.3</v>
      </c>
      <c r="G63" s="10">
        <v>1.0</v>
      </c>
      <c r="H63" s="7"/>
      <c r="I63" s="7"/>
      <c r="J63" s="7"/>
      <c r="K63" s="7"/>
      <c r="L63" s="7"/>
      <c r="M63" s="7"/>
      <c r="N63" s="7"/>
      <c r="O63" s="7"/>
      <c r="P63" s="7"/>
      <c r="Q63" s="7"/>
      <c r="U63" s="8">
        <f t="shared" si="1"/>
        <v>2.3</v>
      </c>
      <c r="V63" s="8">
        <f t="shared" si="2"/>
        <v>36</v>
      </c>
      <c r="W63" s="8" t="str">
        <f t="shared" si="3"/>
        <v/>
      </c>
      <c r="X63" s="8" t="str">
        <f t="shared" si="4"/>
        <v>#N/A</v>
      </c>
    </row>
    <row r="64">
      <c r="A64" s="4">
        <f t="shared" si="5"/>
        <v>63</v>
      </c>
      <c r="B64" s="4" t="s">
        <v>27</v>
      </c>
      <c r="C64" s="4" t="s">
        <v>23</v>
      </c>
      <c r="D64" s="4" t="s">
        <v>8</v>
      </c>
      <c r="E64" s="4" t="s">
        <v>225</v>
      </c>
      <c r="F64" s="5">
        <v>1.4</v>
      </c>
      <c r="G64" s="10">
        <v>2.0</v>
      </c>
      <c r="H64" s="7"/>
      <c r="I64" s="7"/>
      <c r="J64" s="7"/>
      <c r="K64" s="7"/>
      <c r="L64" s="7"/>
      <c r="M64" s="7"/>
      <c r="N64" s="7"/>
      <c r="O64" s="7"/>
      <c r="P64" s="7"/>
      <c r="Q64" s="7"/>
      <c r="U64" s="8">
        <f t="shared" si="1"/>
        <v>1.4</v>
      </c>
      <c r="V64" s="8">
        <f t="shared" si="2"/>
        <v>54</v>
      </c>
      <c r="W64" s="8" t="str">
        <f t="shared" si="3"/>
        <v/>
      </c>
      <c r="X64" s="8" t="str">
        <f t="shared" si="4"/>
        <v>#N/A</v>
      </c>
    </row>
    <row r="65">
      <c r="A65" s="4">
        <f t="shared" si="5"/>
        <v>64</v>
      </c>
      <c r="B65" s="4" t="s">
        <v>21</v>
      </c>
      <c r="C65" s="4" t="s">
        <v>23</v>
      </c>
      <c r="D65" s="4" t="s">
        <v>8</v>
      </c>
      <c r="E65" s="4" t="s">
        <v>112</v>
      </c>
      <c r="F65" s="5">
        <v>0.8</v>
      </c>
      <c r="G65" s="10">
        <v>1.0</v>
      </c>
      <c r="H65" s="7"/>
      <c r="I65" s="7"/>
      <c r="J65" s="7"/>
      <c r="K65" s="7"/>
      <c r="L65" s="7"/>
      <c r="M65" s="7"/>
      <c r="N65" s="7"/>
      <c r="O65" s="7"/>
      <c r="P65" s="7"/>
      <c r="Q65" s="7"/>
      <c r="U65" s="8">
        <f t="shared" si="1"/>
        <v>0.8</v>
      </c>
      <c r="V65" s="8">
        <f t="shared" si="2"/>
        <v>83</v>
      </c>
      <c r="W65" s="8" t="str">
        <f t="shared" si="3"/>
        <v/>
      </c>
      <c r="X65" s="8" t="str">
        <f t="shared" si="4"/>
        <v>#N/A</v>
      </c>
    </row>
    <row r="66">
      <c r="A66" s="4">
        <f t="shared" si="5"/>
        <v>65</v>
      </c>
      <c r="B66" s="4" t="s">
        <v>33</v>
      </c>
      <c r="C66" s="4" t="s">
        <v>21</v>
      </c>
      <c r="D66" s="4" t="s">
        <v>8</v>
      </c>
      <c r="E66" s="4" t="s">
        <v>86</v>
      </c>
      <c r="F66" s="5">
        <v>2.1</v>
      </c>
      <c r="G66" s="10">
        <v>1.0</v>
      </c>
      <c r="H66" s="7"/>
      <c r="I66" s="7"/>
      <c r="J66" s="7"/>
      <c r="K66" s="7"/>
      <c r="L66" s="7"/>
      <c r="M66" s="7"/>
      <c r="N66" s="7"/>
      <c r="O66" s="7"/>
      <c r="P66" s="7"/>
      <c r="Q66" s="7"/>
      <c r="U66" s="8">
        <f t="shared" si="1"/>
        <v>2.1</v>
      </c>
      <c r="V66" s="8">
        <f t="shared" si="2"/>
        <v>41</v>
      </c>
      <c r="W66" s="8" t="str">
        <f t="shared" si="3"/>
        <v/>
      </c>
      <c r="X66" s="8" t="str">
        <f t="shared" si="4"/>
        <v>#N/A</v>
      </c>
    </row>
    <row r="67">
      <c r="A67" s="4">
        <f t="shared" si="5"/>
        <v>66</v>
      </c>
      <c r="B67" s="4" t="s">
        <v>38</v>
      </c>
      <c r="C67" s="4" t="s">
        <v>48</v>
      </c>
      <c r="D67" s="4" t="s">
        <v>8</v>
      </c>
      <c r="E67" s="4" t="s">
        <v>226</v>
      </c>
      <c r="F67" s="5">
        <v>3.2</v>
      </c>
      <c r="G67" s="10">
        <v>1.0</v>
      </c>
      <c r="H67" s="7"/>
      <c r="I67" s="12"/>
      <c r="J67" s="7"/>
      <c r="K67" s="7"/>
      <c r="L67" s="7"/>
      <c r="M67" s="7"/>
      <c r="N67" s="7"/>
      <c r="O67" s="7"/>
      <c r="P67" s="7"/>
      <c r="Q67" s="7"/>
      <c r="U67" s="8">
        <f t="shared" si="1"/>
        <v>3.2</v>
      </c>
      <c r="V67" s="8">
        <f t="shared" si="2"/>
        <v>22</v>
      </c>
      <c r="W67" s="8" t="str">
        <f t="shared" si="3"/>
        <v/>
      </c>
      <c r="X67" s="8" t="str">
        <f t="shared" si="4"/>
        <v>#N/A</v>
      </c>
    </row>
    <row r="68">
      <c r="A68" s="4">
        <f t="shared" si="5"/>
        <v>67</v>
      </c>
      <c r="B68" s="4" t="s">
        <v>12</v>
      </c>
      <c r="C68" s="4" t="s">
        <v>19</v>
      </c>
      <c r="D68" s="4" t="s">
        <v>8</v>
      </c>
      <c r="E68" s="4" t="s">
        <v>227</v>
      </c>
      <c r="F68" s="5">
        <v>1.5</v>
      </c>
      <c r="G68" s="10">
        <v>2.0</v>
      </c>
      <c r="H68" s="7"/>
      <c r="I68" s="7"/>
      <c r="J68" s="7"/>
      <c r="K68" s="7"/>
      <c r="L68" s="7"/>
      <c r="M68" s="7"/>
      <c r="N68" s="7"/>
      <c r="O68" s="7"/>
      <c r="P68" s="7"/>
      <c r="Q68" s="7"/>
      <c r="U68" s="8">
        <f t="shared" si="1"/>
        <v>1.5</v>
      </c>
      <c r="V68" s="8">
        <f t="shared" si="2"/>
        <v>53</v>
      </c>
      <c r="W68" s="8" t="str">
        <f t="shared" si="3"/>
        <v/>
      </c>
      <c r="X68" s="8" t="str">
        <f t="shared" si="4"/>
        <v>#N/A</v>
      </c>
    </row>
    <row r="69">
      <c r="A69" s="4">
        <f t="shared" si="5"/>
        <v>68</v>
      </c>
      <c r="B69" s="4" t="s">
        <v>13</v>
      </c>
      <c r="C69" s="4" t="s">
        <v>25</v>
      </c>
      <c r="D69" s="4" t="s">
        <v>8</v>
      </c>
      <c r="E69" s="4" t="s">
        <v>174</v>
      </c>
      <c r="F69" s="5">
        <v>1.2</v>
      </c>
      <c r="G69" s="10">
        <v>1.0</v>
      </c>
      <c r="H69" s="7"/>
      <c r="I69" s="7"/>
      <c r="J69" s="7"/>
      <c r="K69" s="7"/>
      <c r="L69" s="7"/>
      <c r="M69" s="7"/>
      <c r="N69" s="7"/>
      <c r="O69" s="7"/>
      <c r="P69" s="7"/>
      <c r="Q69" s="7"/>
      <c r="U69" s="8">
        <f t="shared" si="1"/>
        <v>1.2</v>
      </c>
      <c r="V69" s="8">
        <f t="shared" si="2"/>
        <v>66</v>
      </c>
      <c r="W69" s="8" t="str">
        <f t="shared" si="3"/>
        <v/>
      </c>
      <c r="X69" s="8" t="str">
        <f t="shared" si="4"/>
        <v>#N/A</v>
      </c>
    </row>
    <row r="70">
      <c r="A70" s="4">
        <f t="shared" si="5"/>
        <v>69</v>
      </c>
      <c r="B70" s="4" t="s">
        <v>23</v>
      </c>
      <c r="C70" s="4" t="s">
        <v>12</v>
      </c>
      <c r="D70" s="4" t="s">
        <v>8</v>
      </c>
      <c r="E70" s="4" t="s">
        <v>95</v>
      </c>
      <c r="F70" s="5">
        <v>4.4</v>
      </c>
      <c r="G70" s="10">
        <v>1.0</v>
      </c>
      <c r="H70" s="7"/>
      <c r="I70" s="7"/>
      <c r="J70" s="7"/>
      <c r="K70" s="7"/>
      <c r="L70" s="7"/>
      <c r="M70" s="7"/>
      <c r="N70" s="7"/>
      <c r="O70" s="7"/>
      <c r="P70" s="7"/>
      <c r="Q70" s="7"/>
      <c r="U70" s="8">
        <f t="shared" si="1"/>
        <v>4.4</v>
      </c>
      <c r="V70" s="8">
        <f t="shared" si="2"/>
        <v>14</v>
      </c>
      <c r="W70" s="8" t="str">
        <f t="shared" si="3"/>
        <v/>
      </c>
      <c r="X70" s="8" t="str">
        <f t="shared" si="4"/>
        <v>#N/A</v>
      </c>
    </row>
    <row r="71">
      <c r="A71" s="4">
        <f t="shared" si="5"/>
        <v>70</v>
      </c>
      <c r="B71" s="4" t="s">
        <v>19</v>
      </c>
      <c r="C71" s="4" t="s">
        <v>27</v>
      </c>
      <c r="D71" s="4" t="s">
        <v>8</v>
      </c>
      <c r="E71" s="4" t="s">
        <v>118</v>
      </c>
      <c r="F71" s="5">
        <v>2.1</v>
      </c>
      <c r="G71" s="10">
        <v>1.0</v>
      </c>
      <c r="H71" s="7"/>
      <c r="I71" s="7"/>
      <c r="J71" s="7"/>
      <c r="K71" s="7"/>
      <c r="L71" s="7"/>
      <c r="M71" s="7"/>
      <c r="N71" s="7"/>
      <c r="O71" s="7"/>
      <c r="P71" s="7"/>
      <c r="Q71" s="7"/>
      <c r="U71" s="8">
        <f t="shared" si="1"/>
        <v>2.1</v>
      </c>
      <c r="V71" s="8">
        <f t="shared" si="2"/>
        <v>41</v>
      </c>
      <c r="W71" s="8" t="str">
        <f t="shared" si="3"/>
        <v/>
      </c>
      <c r="X71" s="8" t="str">
        <f t="shared" si="4"/>
        <v>#N/A</v>
      </c>
    </row>
    <row r="72">
      <c r="A72" s="4">
        <f t="shared" si="5"/>
        <v>71</v>
      </c>
      <c r="B72" s="4" t="s">
        <v>25</v>
      </c>
      <c r="C72" s="4" t="s">
        <v>38</v>
      </c>
      <c r="D72" s="4" t="s">
        <v>8</v>
      </c>
      <c r="E72" s="4" t="s">
        <v>78</v>
      </c>
      <c r="F72" s="5">
        <v>1.2</v>
      </c>
      <c r="G72" s="10">
        <v>1.0</v>
      </c>
      <c r="H72" s="7"/>
      <c r="I72" s="7"/>
      <c r="J72" s="7"/>
      <c r="K72" s="7"/>
      <c r="L72" s="7"/>
      <c r="M72" s="7"/>
      <c r="N72" s="7"/>
      <c r="O72" s="7"/>
      <c r="P72" s="7"/>
      <c r="Q72" s="7"/>
      <c r="U72" s="8">
        <f t="shared" si="1"/>
        <v>1.2</v>
      </c>
      <c r="V72" s="8">
        <f t="shared" si="2"/>
        <v>66</v>
      </c>
      <c r="W72" s="8" t="str">
        <f t="shared" si="3"/>
        <v/>
      </c>
      <c r="X72" s="8" t="str">
        <f t="shared" si="4"/>
        <v>#N/A</v>
      </c>
    </row>
    <row r="73">
      <c r="A73" s="4">
        <f t="shared" si="5"/>
        <v>72</v>
      </c>
      <c r="B73" s="4" t="s">
        <v>48</v>
      </c>
      <c r="C73" s="4" t="s">
        <v>38</v>
      </c>
      <c r="D73" s="4" t="s">
        <v>8</v>
      </c>
      <c r="E73" s="4" t="s">
        <v>228</v>
      </c>
      <c r="F73" s="5">
        <v>3.7</v>
      </c>
      <c r="G73" s="10">
        <v>2.0</v>
      </c>
      <c r="H73" s="7"/>
      <c r="I73" s="7"/>
      <c r="J73" s="7"/>
      <c r="K73" s="7"/>
      <c r="L73" s="7"/>
      <c r="M73" s="7"/>
      <c r="N73" s="7"/>
      <c r="O73" s="7"/>
      <c r="P73" s="7"/>
      <c r="Q73" s="7"/>
      <c r="U73" s="8">
        <f t="shared" si="1"/>
        <v>3.7</v>
      </c>
      <c r="V73" s="8">
        <f t="shared" si="2"/>
        <v>16</v>
      </c>
      <c r="W73" s="8" t="str">
        <f t="shared" si="3"/>
        <v/>
      </c>
      <c r="X73" s="8" t="str">
        <f t="shared" si="4"/>
        <v>#N/A</v>
      </c>
    </row>
    <row r="74">
      <c r="A74" s="4">
        <f t="shared" si="5"/>
        <v>73</v>
      </c>
      <c r="B74" s="4" t="s">
        <v>37</v>
      </c>
      <c r="C74" s="4" t="s">
        <v>33</v>
      </c>
      <c r="D74" s="4" t="s">
        <v>8</v>
      </c>
      <c r="E74" s="4" t="s">
        <v>84</v>
      </c>
      <c r="F74" s="5">
        <v>2.8</v>
      </c>
      <c r="G74" s="10">
        <v>1.0</v>
      </c>
      <c r="H74" s="7"/>
      <c r="I74" s="7"/>
      <c r="J74" s="7"/>
      <c r="K74" s="7"/>
      <c r="L74" s="7"/>
      <c r="M74" s="7"/>
      <c r="N74" s="7"/>
      <c r="O74" s="7"/>
      <c r="P74" s="7"/>
      <c r="Q74" s="7"/>
      <c r="U74" s="8">
        <f t="shared" si="1"/>
        <v>2.8</v>
      </c>
      <c r="V74" s="8">
        <f t="shared" si="2"/>
        <v>31</v>
      </c>
      <c r="W74" s="8" t="str">
        <f t="shared" si="3"/>
        <v/>
      </c>
      <c r="X74" s="8" t="str">
        <f t="shared" si="4"/>
        <v>#N/A</v>
      </c>
    </row>
    <row r="75">
      <c r="A75" s="4">
        <f t="shared" si="5"/>
        <v>74</v>
      </c>
      <c r="B75" s="4" t="s">
        <v>27</v>
      </c>
      <c r="C75" s="4" t="s">
        <v>23</v>
      </c>
      <c r="D75" s="4" t="s">
        <v>8</v>
      </c>
      <c r="E75" s="4" t="s">
        <v>126</v>
      </c>
      <c r="F75" s="5">
        <v>2.0</v>
      </c>
      <c r="G75" s="10">
        <v>1.0</v>
      </c>
      <c r="H75" s="7"/>
      <c r="I75" s="7"/>
      <c r="J75" s="7"/>
      <c r="K75" s="7"/>
      <c r="L75" s="7"/>
      <c r="M75" s="7"/>
      <c r="N75" s="7"/>
      <c r="O75" s="7"/>
      <c r="P75" s="7"/>
      <c r="Q75" s="7"/>
      <c r="U75" s="8">
        <f t="shared" si="1"/>
        <v>2</v>
      </c>
      <c r="V75" s="8">
        <f t="shared" si="2"/>
        <v>43</v>
      </c>
      <c r="W75" s="8" t="str">
        <f t="shared" si="3"/>
        <v/>
      </c>
      <c r="X75" s="8" t="str">
        <f t="shared" si="4"/>
        <v>#N/A</v>
      </c>
    </row>
    <row r="76">
      <c r="A76" s="4">
        <f t="shared" si="5"/>
        <v>75</v>
      </c>
      <c r="B76" s="4" t="s">
        <v>21</v>
      </c>
      <c r="C76" s="4" t="s">
        <v>37</v>
      </c>
      <c r="D76" s="4" t="s">
        <v>8</v>
      </c>
      <c r="E76" s="4" t="s">
        <v>119</v>
      </c>
      <c r="F76" s="5">
        <v>0.8</v>
      </c>
      <c r="G76" s="10">
        <v>1.0</v>
      </c>
      <c r="H76" s="7"/>
      <c r="I76" s="7"/>
      <c r="J76" s="7"/>
      <c r="K76" s="7"/>
      <c r="L76" s="7"/>
      <c r="M76" s="7"/>
      <c r="N76" s="7"/>
      <c r="O76" s="7"/>
      <c r="P76" s="7"/>
      <c r="Q76" s="7"/>
      <c r="U76" s="8">
        <f t="shared" si="1"/>
        <v>0.8</v>
      </c>
      <c r="V76" s="8">
        <f t="shared" si="2"/>
        <v>83</v>
      </c>
      <c r="W76" s="8" t="str">
        <f t="shared" si="3"/>
        <v/>
      </c>
      <c r="X76" s="8" t="str">
        <f t="shared" si="4"/>
        <v>#N/A</v>
      </c>
    </row>
    <row r="77">
      <c r="A77" s="4">
        <f t="shared" si="5"/>
        <v>76</v>
      </c>
      <c r="B77" s="4" t="s">
        <v>33</v>
      </c>
      <c r="C77" s="4" t="s">
        <v>38</v>
      </c>
      <c r="D77" s="4" t="s">
        <v>8</v>
      </c>
      <c r="E77" s="4" t="s">
        <v>102</v>
      </c>
      <c r="F77" s="5">
        <v>1.4</v>
      </c>
      <c r="G77" s="10">
        <v>1.0</v>
      </c>
      <c r="H77" s="7"/>
      <c r="I77" s="7"/>
      <c r="J77" s="7"/>
      <c r="K77" s="7"/>
      <c r="L77" s="7"/>
      <c r="M77" s="7"/>
      <c r="N77" s="7"/>
      <c r="O77" s="7"/>
      <c r="P77" s="7"/>
      <c r="Q77" s="7"/>
      <c r="U77" s="8">
        <f t="shared" si="1"/>
        <v>1.4</v>
      </c>
      <c r="V77" s="8">
        <f t="shared" si="2"/>
        <v>54</v>
      </c>
      <c r="W77" s="8" t="str">
        <f t="shared" si="3"/>
        <v/>
      </c>
      <c r="X77" s="8" t="str">
        <f t="shared" si="4"/>
        <v>#N/A</v>
      </c>
    </row>
    <row r="78">
      <c r="A78" s="4">
        <f t="shared" si="5"/>
        <v>77</v>
      </c>
      <c r="B78" s="4" t="s">
        <v>38</v>
      </c>
      <c r="C78" s="4" t="s">
        <v>12</v>
      </c>
      <c r="D78" s="4" t="s">
        <v>8</v>
      </c>
      <c r="E78" s="4" t="s">
        <v>109</v>
      </c>
      <c r="F78" s="5">
        <v>2.0</v>
      </c>
      <c r="G78" s="10">
        <v>1.0</v>
      </c>
      <c r="H78" s="7"/>
      <c r="I78" s="7"/>
      <c r="J78" s="7"/>
      <c r="K78" s="7"/>
      <c r="L78" s="7"/>
      <c r="M78" s="7"/>
      <c r="N78" s="7"/>
      <c r="O78" s="7"/>
      <c r="P78" s="7"/>
      <c r="Q78" s="7"/>
      <c r="U78" s="8">
        <f t="shared" si="1"/>
        <v>2</v>
      </c>
      <c r="V78" s="8">
        <f t="shared" si="2"/>
        <v>43</v>
      </c>
      <c r="W78" s="8" t="str">
        <f t="shared" si="3"/>
        <v/>
      </c>
      <c r="X78" s="8" t="str">
        <f t="shared" si="4"/>
        <v>#N/A</v>
      </c>
    </row>
    <row r="79">
      <c r="A79" s="4">
        <f t="shared" si="5"/>
        <v>78</v>
      </c>
      <c r="B79" s="4" t="s">
        <v>12</v>
      </c>
      <c r="C79" s="4" t="s">
        <v>13</v>
      </c>
      <c r="D79" s="4" t="s">
        <v>8</v>
      </c>
      <c r="E79" s="4" t="s">
        <v>229</v>
      </c>
      <c r="F79" s="5">
        <v>0.6</v>
      </c>
      <c r="G79" s="10">
        <v>2.0</v>
      </c>
      <c r="H79" s="7"/>
      <c r="I79" s="7"/>
      <c r="J79" s="7"/>
      <c r="K79" s="7"/>
      <c r="L79" s="7"/>
      <c r="M79" s="7"/>
      <c r="N79" s="7"/>
      <c r="O79" s="7"/>
      <c r="P79" s="7"/>
      <c r="Q79" s="7"/>
      <c r="U79" s="8">
        <f t="shared" si="1"/>
        <v>0.6</v>
      </c>
      <c r="V79" s="8">
        <f t="shared" si="2"/>
        <v>104</v>
      </c>
      <c r="W79" s="8" t="str">
        <f t="shared" si="3"/>
        <v/>
      </c>
      <c r="X79" s="8" t="str">
        <f t="shared" si="4"/>
        <v>#N/A</v>
      </c>
    </row>
    <row r="80">
      <c r="A80" s="4">
        <f t="shared" si="5"/>
        <v>79</v>
      </c>
      <c r="B80" s="4" t="s">
        <v>13</v>
      </c>
      <c r="C80" s="4" t="s">
        <v>13</v>
      </c>
      <c r="D80" s="4" t="s">
        <v>8</v>
      </c>
      <c r="E80" s="4" t="s">
        <v>230</v>
      </c>
      <c r="F80" s="5">
        <v>0.9</v>
      </c>
      <c r="G80" s="10">
        <v>1.0</v>
      </c>
      <c r="H80" s="7"/>
      <c r="I80" s="7"/>
      <c r="J80" s="7"/>
      <c r="K80" s="7"/>
      <c r="L80" s="7"/>
      <c r="M80" s="7"/>
      <c r="N80" s="7"/>
      <c r="O80" s="7"/>
      <c r="P80" s="7"/>
      <c r="Q80" s="7"/>
      <c r="U80" s="8">
        <f t="shared" si="1"/>
        <v>0.9</v>
      </c>
      <c r="V80" s="8">
        <f t="shared" si="2"/>
        <v>75</v>
      </c>
      <c r="W80" s="8" t="str">
        <f t="shared" si="3"/>
        <v/>
      </c>
      <c r="X80" s="8" t="str">
        <f t="shared" si="4"/>
        <v>#N/A</v>
      </c>
    </row>
    <row r="81">
      <c r="A81" s="4">
        <f t="shared" si="5"/>
        <v>80</v>
      </c>
      <c r="B81" s="4" t="s">
        <v>23</v>
      </c>
      <c r="C81" s="4" t="s">
        <v>33</v>
      </c>
      <c r="D81" s="4" t="s">
        <v>8</v>
      </c>
      <c r="E81" s="4" t="s">
        <v>231</v>
      </c>
      <c r="F81" s="5">
        <v>3.5</v>
      </c>
      <c r="G81" s="10">
        <v>1.0</v>
      </c>
      <c r="H81" s="7"/>
      <c r="I81" s="7"/>
      <c r="J81" s="7"/>
      <c r="K81" s="7"/>
      <c r="L81" s="7"/>
      <c r="M81" s="7"/>
      <c r="N81" s="7"/>
      <c r="O81" s="7"/>
      <c r="P81" s="7"/>
      <c r="Q81" s="7"/>
      <c r="U81" s="8">
        <f t="shared" si="1"/>
        <v>3.5</v>
      </c>
      <c r="V81" s="8">
        <f t="shared" si="2"/>
        <v>19</v>
      </c>
      <c r="W81" s="8" t="str">
        <f t="shared" si="3"/>
        <v/>
      </c>
      <c r="X81" s="8" t="str">
        <f t="shared" si="4"/>
        <v>#N/A</v>
      </c>
    </row>
    <row r="82">
      <c r="A82" s="4">
        <f t="shared" si="5"/>
        <v>81</v>
      </c>
      <c r="B82" s="4" t="s">
        <v>19</v>
      </c>
      <c r="C82" s="4" t="s">
        <v>48</v>
      </c>
      <c r="D82" s="4" t="s">
        <v>8</v>
      </c>
      <c r="E82" s="4" t="s">
        <v>155</v>
      </c>
      <c r="F82" s="5">
        <v>1.4</v>
      </c>
      <c r="G82" s="10">
        <v>1.0</v>
      </c>
      <c r="H82" s="7"/>
      <c r="I82" s="7"/>
      <c r="J82" s="7"/>
      <c r="K82" s="7"/>
      <c r="L82" s="7"/>
      <c r="M82" s="7"/>
      <c r="N82" s="7"/>
      <c r="O82" s="7"/>
      <c r="P82" s="7"/>
      <c r="Q82" s="7"/>
      <c r="U82" s="8">
        <f t="shared" si="1"/>
        <v>1.4</v>
      </c>
      <c r="V82" s="8">
        <f t="shared" si="2"/>
        <v>54</v>
      </c>
      <c r="W82" s="8" t="str">
        <f t="shared" si="3"/>
        <v/>
      </c>
      <c r="X82" s="8" t="str">
        <f t="shared" si="4"/>
        <v>#N/A</v>
      </c>
    </row>
    <row r="83">
      <c r="A83" s="4">
        <f t="shared" si="5"/>
        <v>82</v>
      </c>
      <c r="B83" s="4" t="s">
        <v>25</v>
      </c>
      <c r="C83" s="4" t="s">
        <v>19</v>
      </c>
      <c r="D83" s="4" t="s">
        <v>8</v>
      </c>
      <c r="E83" s="4" t="s">
        <v>232</v>
      </c>
      <c r="F83" s="5">
        <v>0.9</v>
      </c>
      <c r="G83" s="10">
        <v>2.0</v>
      </c>
      <c r="H83" s="7"/>
      <c r="I83" s="7"/>
      <c r="J83" s="7"/>
      <c r="K83" s="7"/>
      <c r="L83" s="7"/>
      <c r="M83" s="7"/>
      <c r="N83" s="7"/>
      <c r="O83" s="7"/>
      <c r="P83" s="7"/>
      <c r="Q83" s="7"/>
      <c r="U83" s="8">
        <f t="shared" si="1"/>
        <v>0.9</v>
      </c>
      <c r="V83" s="8">
        <f t="shared" si="2"/>
        <v>75</v>
      </c>
      <c r="W83" s="8" t="str">
        <f t="shared" si="3"/>
        <v/>
      </c>
      <c r="X83" s="8" t="str">
        <f t="shared" si="4"/>
        <v>#N/A</v>
      </c>
    </row>
    <row r="84">
      <c r="A84" s="4">
        <f t="shared" si="5"/>
        <v>83</v>
      </c>
      <c r="B84" s="4" t="s">
        <v>48</v>
      </c>
      <c r="C84" s="4" t="s">
        <v>48</v>
      </c>
      <c r="D84" s="4" t="s">
        <v>8</v>
      </c>
      <c r="E84" s="4" t="s">
        <v>233</v>
      </c>
      <c r="F84" s="5">
        <v>1.7</v>
      </c>
      <c r="G84" s="10">
        <v>1.0</v>
      </c>
      <c r="H84" s="7"/>
      <c r="I84" s="7"/>
      <c r="J84" s="7"/>
      <c r="K84" s="7"/>
      <c r="L84" s="7"/>
      <c r="M84" s="7"/>
      <c r="N84" s="7"/>
      <c r="O84" s="7"/>
      <c r="P84" s="7"/>
      <c r="Q84" s="7"/>
      <c r="U84" s="8">
        <f t="shared" si="1"/>
        <v>1.7</v>
      </c>
      <c r="V84" s="8">
        <f t="shared" si="2"/>
        <v>51</v>
      </c>
      <c r="W84" s="8" t="str">
        <f t="shared" si="3"/>
        <v/>
      </c>
      <c r="X84" s="8" t="str">
        <f t="shared" si="4"/>
        <v>#N/A</v>
      </c>
    </row>
    <row r="85">
      <c r="A85" s="4">
        <f t="shared" si="5"/>
        <v>84</v>
      </c>
      <c r="B85" s="4" t="s">
        <v>37</v>
      </c>
      <c r="C85" s="4" t="s">
        <v>48</v>
      </c>
      <c r="D85" s="4" t="s">
        <v>8</v>
      </c>
      <c r="E85" s="4" t="s">
        <v>96</v>
      </c>
      <c r="F85" s="5">
        <v>2.0</v>
      </c>
      <c r="G85" s="10">
        <v>1.0</v>
      </c>
      <c r="H85" s="7"/>
      <c r="I85" s="7"/>
      <c r="J85" s="7"/>
      <c r="K85" s="7"/>
      <c r="L85" s="7"/>
      <c r="M85" s="7"/>
      <c r="N85" s="7"/>
      <c r="O85" s="7"/>
      <c r="P85" s="7"/>
      <c r="Q85" s="7"/>
      <c r="U85" s="8">
        <f t="shared" si="1"/>
        <v>2</v>
      </c>
      <c r="V85" s="8">
        <f t="shared" si="2"/>
        <v>43</v>
      </c>
      <c r="W85" s="8" t="str">
        <f t="shared" si="3"/>
        <v/>
      </c>
      <c r="X85" s="8" t="str">
        <f t="shared" si="4"/>
        <v>#N/A</v>
      </c>
    </row>
    <row r="86">
      <c r="A86" s="4">
        <f t="shared" si="5"/>
        <v>85</v>
      </c>
      <c r="B86" s="4" t="s">
        <v>27</v>
      </c>
      <c r="C86" s="4" t="s">
        <v>23</v>
      </c>
      <c r="D86" s="4" t="s">
        <v>8</v>
      </c>
      <c r="E86" s="4" t="s">
        <v>120</v>
      </c>
      <c r="F86" s="5">
        <v>1.3</v>
      </c>
      <c r="G86" s="10">
        <v>1.0</v>
      </c>
      <c r="H86" s="7"/>
      <c r="I86" s="7"/>
      <c r="J86" s="7"/>
      <c r="K86" s="7"/>
      <c r="L86" s="7"/>
      <c r="M86" s="7"/>
      <c r="N86" s="7"/>
      <c r="O86" s="7"/>
      <c r="P86" s="7"/>
      <c r="Q86" s="7"/>
      <c r="U86" s="8">
        <f t="shared" si="1"/>
        <v>1.3</v>
      </c>
      <c r="V86" s="8">
        <f t="shared" si="2"/>
        <v>61</v>
      </c>
      <c r="W86" s="8" t="str">
        <f t="shared" si="3"/>
        <v/>
      </c>
      <c r="X86" s="8" t="str">
        <f t="shared" si="4"/>
        <v>#N/A</v>
      </c>
    </row>
    <row r="87">
      <c r="A87" s="4">
        <f t="shared" si="5"/>
        <v>86</v>
      </c>
      <c r="B87" s="4" t="s">
        <v>21</v>
      </c>
      <c r="C87" s="4" t="s">
        <v>23</v>
      </c>
      <c r="D87" s="4" t="s">
        <v>8</v>
      </c>
      <c r="E87" s="4" t="s">
        <v>79</v>
      </c>
      <c r="F87" s="5">
        <v>2.6</v>
      </c>
      <c r="G87" s="10">
        <v>1.0</v>
      </c>
      <c r="H87" s="7"/>
      <c r="I87" s="7"/>
      <c r="J87" s="7"/>
      <c r="K87" s="7"/>
      <c r="L87" s="7"/>
      <c r="M87" s="7"/>
      <c r="N87" s="7"/>
      <c r="O87" s="7"/>
      <c r="P87" s="7"/>
      <c r="Q87" s="7"/>
      <c r="U87" s="8">
        <f t="shared" si="1"/>
        <v>2.6</v>
      </c>
      <c r="V87" s="8">
        <f t="shared" si="2"/>
        <v>32</v>
      </c>
      <c r="W87" s="8" t="str">
        <f t="shared" si="3"/>
        <v/>
      </c>
      <c r="X87" s="8" t="str">
        <f t="shared" si="4"/>
        <v>#N/A</v>
      </c>
    </row>
    <row r="88">
      <c r="A88" s="4">
        <f t="shared" si="5"/>
        <v>87</v>
      </c>
      <c r="B88" s="4" t="s">
        <v>33</v>
      </c>
      <c r="C88" s="4" t="s">
        <v>12</v>
      </c>
      <c r="D88" s="4" t="s">
        <v>8</v>
      </c>
      <c r="E88" s="4" t="s">
        <v>108</v>
      </c>
      <c r="F88" s="5">
        <v>1.7</v>
      </c>
      <c r="G88" s="10">
        <v>1.0</v>
      </c>
      <c r="H88" s="7"/>
      <c r="I88" s="7"/>
      <c r="J88" s="7"/>
      <c r="K88" s="7"/>
      <c r="L88" s="7"/>
      <c r="M88" s="7"/>
      <c r="N88" s="7"/>
      <c r="O88" s="7"/>
      <c r="P88" s="7"/>
      <c r="Q88" s="7"/>
      <c r="U88" s="8">
        <f t="shared" si="1"/>
        <v>1.7</v>
      </c>
      <c r="V88" s="8">
        <f t="shared" si="2"/>
        <v>51</v>
      </c>
      <c r="W88" s="8" t="str">
        <f t="shared" si="3"/>
        <v/>
      </c>
      <c r="X88" s="8" t="str">
        <f t="shared" si="4"/>
        <v>#N/A</v>
      </c>
    </row>
    <row r="89">
      <c r="A89" s="4">
        <f t="shared" si="5"/>
        <v>88</v>
      </c>
      <c r="B89" s="4" t="s">
        <v>38</v>
      </c>
      <c r="C89" s="4" t="s">
        <v>37</v>
      </c>
      <c r="D89" s="4" t="s">
        <v>8</v>
      </c>
      <c r="E89" s="4" t="s">
        <v>134</v>
      </c>
      <c r="F89" s="5">
        <v>1.2</v>
      </c>
      <c r="G89" s="10">
        <v>1.0</v>
      </c>
      <c r="H89" s="7"/>
      <c r="I89" s="7"/>
      <c r="J89" s="7"/>
      <c r="K89" s="7"/>
      <c r="L89" s="7"/>
      <c r="M89" s="7"/>
      <c r="N89" s="7"/>
      <c r="O89" s="7"/>
      <c r="P89" s="7"/>
      <c r="Q89" s="7"/>
      <c r="U89" s="8">
        <f t="shared" si="1"/>
        <v>1.2</v>
      </c>
      <c r="V89" s="8">
        <f t="shared" si="2"/>
        <v>66</v>
      </c>
      <c r="W89" s="8" t="str">
        <f t="shared" si="3"/>
        <v/>
      </c>
      <c r="X89" s="8" t="str">
        <f t="shared" si="4"/>
        <v>#N/A</v>
      </c>
    </row>
    <row r="90">
      <c r="A90" s="4">
        <f t="shared" si="5"/>
        <v>89</v>
      </c>
      <c r="B90" s="4" t="s">
        <v>12</v>
      </c>
      <c r="C90" s="4" t="s">
        <v>48</v>
      </c>
      <c r="D90" s="4" t="s">
        <v>8</v>
      </c>
      <c r="E90" s="4" t="s">
        <v>234</v>
      </c>
      <c r="F90" s="5">
        <v>1.4</v>
      </c>
      <c r="G90" s="10">
        <v>1.0</v>
      </c>
      <c r="H90" s="7"/>
      <c r="I90" s="7"/>
      <c r="J90" s="7"/>
      <c r="K90" s="7"/>
      <c r="L90" s="7"/>
      <c r="M90" s="7"/>
      <c r="N90" s="7"/>
      <c r="O90" s="7"/>
      <c r="P90" s="7"/>
      <c r="Q90" s="7"/>
      <c r="U90" s="8">
        <f t="shared" si="1"/>
        <v>1.4</v>
      </c>
      <c r="V90" s="8">
        <f t="shared" si="2"/>
        <v>54</v>
      </c>
      <c r="W90" s="8" t="str">
        <f t="shared" si="3"/>
        <v/>
      </c>
      <c r="X90" s="8" t="str">
        <f t="shared" si="4"/>
        <v>#N/A</v>
      </c>
    </row>
    <row r="91">
      <c r="A91" s="4">
        <f t="shared" si="5"/>
        <v>90</v>
      </c>
      <c r="B91" s="4" t="s">
        <v>13</v>
      </c>
      <c r="C91" s="4" t="s">
        <v>23</v>
      </c>
      <c r="D91" s="4" t="s">
        <v>8</v>
      </c>
      <c r="E91" s="4" t="s">
        <v>154</v>
      </c>
      <c r="F91" s="5">
        <v>1.3</v>
      </c>
      <c r="G91" s="10">
        <v>1.0</v>
      </c>
      <c r="H91" s="7"/>
      <c r="I91" s="7"/>
      <c r="J91" s="7"/>
      <c r="K91" s="7"/>
      <c r="L91" s="7"/>
      <c r="M91" s="7"/>
      <c r="N91" s="7"/>
      <c r="O91" s="7"/>
      <c r="P91" s="7"/>
      <c r="Q91" s="7"/>
      <c r="U91" s="8">
        <f t="shared" si="1"/>
        <v>1.3</v>
      </c>
      <c r="V91" s="8">
        <f t="shared" si="2"/>
        <v>61</v>
      </c>
      <c r="W91" s="8" t="str">
        <f t="shared" si="3"/>
        <v/>
      </c>
      <c r="X91" s="8" t="str">
        <f t="shared" si="4"/>
        <v>#N/A</v>
      </c>
    </row>
    <row r="92">
      <c r="A92" s="4">
        <f t="shared" si="5"/>
        <v>91</v>
      </c>
      <c r="B92" s="4" t="s">
        <v>23</v>
      </c>
      <c r="C92" s="4" t="s">
        <v>37</v>
      </c>
      <c r="D92" s="4" t="s">
        <v>8</v>
      </c>
      <c r="E92" s="4" t="s">
        <v>235</v>
      </c>
      <c r="F92" s="5">
        <v>2.2</v>
      </c>
      <c r="G92" s="10">
        <v>1.0</v>
      </c>
      <c r="H92" s="7"/>
      <c r="I92" s="7"/>
      <c r="J92" s="7"/>
      <c r="K92" s="7"/>
      <c r="L92" s="7"/>
      <c r="M92" s="7"/>
      <c r="N92" s="7"/>
      <c r="O92" s="7"/>
      <c r="P92" s="7"/>
      <c r="Q92" s="7"/>
      <c r="U92" s="8">
        <f t="shared" si="1"/>
        <v>2.2</v>
      </c>
      <c r="V92" s="8">
        <f t="shared" si="2"/>
        <v>37</v>
      </c>
      <c r="W92" s="8" t="str">
        <f t="shared" si="3"/>
        <v/>
      </c>
      <c r="X92" s="8" t="str">
        <f t="shared" si="4"/>
        <v>#N/A</v>
      </c>
    </row>
    <row r="93">
      <c r="A93" s="4">
        <f t="shared" si="5"/>
        <v>92</v>
      </c>
      <c r="B93" s="4" t="s">
        <v>19</v>
      </c>
      <c r="C93" s="4" t="s">
        <v>27</v>
      </c>
      <c r="D93" s="4" t="s">
        <v>8</v>
      </c>
      <c r="E93" s="4" t="s">
        <v>160</v>
      </c>
      <c r="F93" s="5">
        <v>1.1</v>
      </c>
      <c r="G93" s="10">
        <v>1.0</v>
      </c>
      <c r="H93" s="7"/>
      <c r="I93" s="7"/>
      <c r="J93" s="7"/>
      <c r="K93" s="7"/>
      <c r="L93" s="7"/>
      <c r="M93" s="7"/>
      <c r="N93" s="7"/>
      <c r="O93" s="7"/>
      <c r="P93" s="7"/>
      <c r="Q93" s="7"/>
      <c r="U93" s="8">
        <f t="shared" si="1"/>
        <v>1.1</v>
      </c>
      <c r="V93" s="8">
        <f t="shared" si="2"/>
        <v>71</v>
      </c>
      <c r="W93" s="8" t="str">
        <f t="shared" si="3"/>
        <v/>
      </c>
      <c r="X93" s="8" t="str">
        <f t="shared" si="4"/>
        <v>#N/A</v>
      </c>
    </row>
    <row r="94">
      <c r="A94" s="4">
        <f t="shared" si="5"/>
        <v>93</v>
      </c>
      <c r="B94" s="4" t="s">
        <v>25</v>
      </c>
      <c r="C94" s="4" t="s">
        <v>37</v>
      </c>
      <c r="D94" s="4" t="s">
        <v>8</v>
      </c>
      <c r="E94" s="4" t="s">
        <v>123</v>
      </c>
      <c r="F94" s="5">
        <v>1.3</v>
      </c>
      <c r="G94" s="10">
        <v>1.0</v>
      </c>
      <c r="H94" s="7"/>
      <c r="I94" s="7"/>
      <c r="J94" s="7"/>
      <c r="K94" s="7"/>
      <c r="L94" s="7"/>
      <c r="M94" s="7"/>
      <c r="N94" s="7"/>
      <c r="O94" s="7"/>
      <c r="P94" s="7"/>
      <c r="Q94" s="7"/>
      <c r="U94" s="8">
        <f t="shared" si="1"/>
        <v>1.3</v>
      </c>
      <c r="V94" s="8">
        <f t="shared" si="2"/>
        <v>61</v>
      </c>
      <c r="W94" s="8" t="str">
        <f t="shared" si="3"/>
        <v/>
      </c>
      <c r="X94" s="8" t="str">
        <f t="shared" si="4"/>
        <v>#N/A</v>
      </c>
    </row>
    <row r="95">
      <c r="A95" s="4">
        <f t="shared" si="5"/>
        <v>94</v>
      </c>
      <c r="B95" s="4" t="s">
        <v>48</v>
      </c>
      <c r="C95" s="4" t="s">
        <v>33</v>
      </c>
      <c r="D95" s="4" t="s">
        <v>8</v>
      </c>
      <c r="E95" s="4" t="s">
        <v>140</v>
      </c>
      <c r="F95" s="5">
        <v>1.4</v>
      </c>
      <c r="G95" s="10">
        <v>1.0</v>
      </c>
      <c r="H95" s="7"/>
      <c r="I95" s="7"/>
      <c r="J95" s="7"/>
      <c r="K95" s="7"/>
      <c r="L95" s="7"/>
      <c r="M95" s="7"/>
      <c r="N95" s="7"/>
      <c r="O95" s="7"/>
      <c r="P95" s="7"/>
      <c r="Q95" s="7"/>
      <c r="U95" s="8">
        <f t="shared" si="1"/>
        <v>1.4</v>
      </c>
      <c r="V95" s="8">
        <f t="shared" si="2"/>
        <v>54</v>
      </c>
      <c r="W95" s="8" t="str">
        <f t="shared" si="3"/>
        <v/>
      </c>
      <c r="X95" s="8" t="str">
        <f t="shared" si="4"/>
        <v>#N/A</v>
      </c>
    </row>
    <row r="96">
      <c r="A96" s="4">
        <f t="shared" si="5"/>
        <v>95</v>
      </c>
      <c r="B96" s="4" t="s">
        <v>37</v>
      </c>
      <c r="C96" s="4" t="s">
        <v>23</v>
      </c>
      <c r="D96" s="4" t="s">
        <v>8</v>
      </c>
      <c r="E96" s="4" t="s">
        <v>136</v>
      </c>
      <c r="F96" s="5">
        <v>1.0</v>
      </c>
      <c r="G96" s="10">
        <v>1.0</v>
      </c>
      <c r="H96" s="7"/>
      <c r="I96" s="7"/>
      <c r="J96" s="7"/>
      <c r="K96" s="7"/>
      <c r="L96" s="7"/>
      <c r="M96" s="7"/>
      <c r="N96" s="7"/>
      <c r="O96" s="7"/>
      <c r="P96" s="7"/>
      <c r="Q96" s="7"/>
      <c r="U96" s="8">
        <f t="shared" si="1"/>
        <v>1</v>
      </c>
      <c r="V96" s="8">
        <f t="shared" si="2"/>
        <v>73</v>
      </c>
      <c r="W96" s="8" t="str">
        <f t="shared" si="3"/>
        <v/>
      </c>
      <c r="X96" s="8" t="str">
        <f t="shared" si="4"/>
        <v>#N/A</v>
      </c>
    </row>
    <row r="97">
      <c r="A97" s="4">
        <f t="shared" si="5"/>
        <v>96</v>
      </c>
      <c r="B97" s="4" t="s">
        <v>27</v>
      </c>
      <c r="C97" s="4" t="s">
        <v>12</v>
      </c>
      <c r="D97" s="4" t="s">
        <v>8</v>
      </c>
      <c r="E97" s="4" t="s">
        <v>146</v>
      </c>
      <c r="F97" s="5">
        <v>1.8</v>
      </c>
      <c r="G97" s="10">
        <v>1.0</v>
      </c>
      <c r="H97" s="7"/>
      <c r="I97" s="7"/>
      <c r="J97" s="7"/>
      <c r="K97" s="7"/>
      <c r="L97" s="7"/>
      <c r="M97" s="7"/>
      <c r="N97" s="7"/>
      <c r="O97" s="7"/>
      <c r="P97" s="7"/>
      <c r="Q97" s="7"/>
      <c r="U97" s="8">
        <f t="shared" si="1"/>
        <v>1.8</v>
      </c>
      <c r="V97" s="8">
        <f t="shared" si="2"/>
        <v>48</v>
      </c>
      <c r="W97" s="8" t="str">
        <f t="shared" si="3"/>
        <v/>
      </c>
      <c r="X97" s="8" t="str">
        <f t="shared" si="4"/>
        <v>#N/A</v>
      </c>
    </row>
    <row r="98">
      <c r="A98" s="4">
        <f t="shared" si="5"/>
        <v>97</v>
      </c>
      <c r="B98" s="4" t="s">
        <v>21</v>
      </c>
      <c r="C98" s="4" t="s">
        <v>37</v>
      </c>
      <c r="D98" s="4" t="s">
        <v>8</v>
      </c>
      <c r="E98" s="4" t="s">
        <v>129</v>
      </c>
      <c r="F98" s="5">
        <v>1.3</v>
      </c>
      <c r="G98" s="10">
        <v>1.0</v>
      </c>
      <c r="H98" s="7"/>
      <c r="I98" s="7"/>
      <c r="J98" s="7"/>
      <c r="K98" s="7"/>
      <c r="L98" s="7"/>
      <c r="M98" s="7"/>
      <c r="N98" s="7"/>
      <c r="O98" s="7"/>
      <c r="P98" s="7"/>
      <c r="Q98" s="7"/>
      <c r="U98" s="8">
        <f t="shared" si="1"/>
        <v>1.3</v>
      </c>
      <c r="V98" s="8">
        <f t="shared" si="2"/>
        <v>61</v>
      </c>
      <c r="W98" s="8" t="str">
        <f t="shared" si="3"/>
        <v/>
      </c>
      <c r="X98" s="8" t="str">
        <f t="shared" si="4"/>
        <v>#N/A</v>
      </c>
    </row>
    <row r="99">
      <c r="A99" s="4">
        <f t="shared" si="5"/>
        <v>98</v>
      </c>
      <c r="B99" s="4" t="s">
        <v>33</v>
      </c>
      <c r="C99" s="4" t="s">
        <v>13</v>
      </c>
      <c r="D99" s="4" t="s">
        <v>8</v>
      </c>
      <c r="E99" s="4" t="s">
        <v>236</v>
      </c>
      <c r="F99" s="5">
        <v>0.6</v>
      </c>
      <c r="G99" s="10">
        <v>2.0</v>
      </c>
      <c r="H99" s="7"/>
      <c r="I99" s="7"/>
      <c r="J99" s="7"/>
      <c r="K99" s="7"/>
      <c r="L99" s="7"/>
      <c r="M99" s="7"/>
      <c r="N99" s="7"/>
      <c r="O99" s="7"/>
      <c r="P99" s="7"/>
      <c r="Q99" s="7"/>
      <c r="U99" s="8">
        <f t="shared" si="1"/>
        <v>0.6</v>
      </c>
      <c r="V99" s="8">
        <f t="shared" si="2"/>
        <v>104</v>
      </c>
      <c r="W99" s="8" t="str">
        <f t="shared" si="3"/>
        <v/>
      </c>
      <c r="X99" s="8" t="str">
        <f t="shared" si="4"/>
        <v>#N/A</v>
      </c>
    </row>
    <row r="100">
      <c r="A100" s="4">
        <f t="shared" si="5"/>
        <v>99</v>
      </c>
      <c r="B100" s="4" t="s">
        <v>38</v>
      </c>
      <c r="C100" s="4" t="s">
        <v>48</v>
      </c>
      <c r="D100" s="4" t="s">
        <v>8</v>
      </c>
      <c r="E100" s="4" t="s">
        <v>142</v>
      </c>
      <c r="F100" s="5">
        <v>0.7</v>
      </c>
      <c r="G100" s="10">
        <v>1.0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U100" s="8">
        <f t="shared" si="1"/>
        <v>0.7</v>
      </c>
      <c r="V100" s="8">
        <f t="shared" si="2"/>
        <v>94</v>
      </c>
      <c r="W100" s="8" t="str">
        <f t="shared" si="3"/>
        <v/>
      </c>
      <c r="X100" s="8" t="str">
        <f t="shared" si="4"/>
        <v>#N/A</v>
      </c>
    </row>
    <row r="101">
      <c r="A101" s="4">
        <f t="shared" si="5"/>
        <v>100</v>
      </c>
      <c r="B101" s="4" t="s">
        <v>12</v>
      </c>
      <c r="C101" s="4" t="s">
        <v>23</v>
      </c>
      <c r="D101" s="4" t="s">
        <v>8</v>
      </c>
      <c r="E101" s="4" t="s">
        <v>138</v>
      </c>
      <c r="F101" s="5">
        <v>1.4</v>
      </c>
      <c r="G101" s="10">
        <v>1.0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U101" s="8">
        <f t="shared" si="1"/>
        <v>1.4</v>
      </c>
      <c r="V101" s="8">
        <f t="shared" si="2"/>
        <v>54</v>
      </c>
      <c r="W101" s="8" t="str">
        <f t="shared" si="3"/>
        <v/>
      </c>
      <c r="X101" s="8" t="str">
        <f t="shared" si="4"/>
        <v>#N/A</v>
      </c>
    </row>
    <row r="102">
      <c r="A102" s="4">
        <f t="shared" si="5"/>
        <v>101</v>
      </c>
      <c r="B102" s="4" t="s">
        <v>13</v>
      </c>
      <c r="C102" s="4" t="s">
        <v>37</v>
      </c>
      <c r="D102" s="4" t="s">
        <v>8</v>
      </c>
      <c r="E102" s="4" t="s">
        <v>237</v>
      </c>
      <c r="F102" s="5">
        <v>0.9</v>
      </c>
      <c r="G102" s="10">
        <v>1.0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U102" s="8">
        <f t="shared" si="1"/>
        <v>0.9</v>
      </c>
      <c r="V102" s="8">
        <f t="shared" si="2"/>
        <v>75</v>
      </c>
      <c r="W102" s="8" t="str">
        <f t="shared" si="3"/>
        <v/>
      </c>
      <c r="X102" s="8" t="str">
        <f t="shared" si="4"/>
        <v>#N/A</v>
      </c>
    </row>
    <row r="103">
      <c r="A103" s="4">
        <f t="shared" si="5"/>
        <v>102</v>
      </c>
      <c r="B103" s="4" t="s">
        <v>23</v>
      </c>
      <c r="C103" s="4" t="s">
        <v>25</v>
      </c>
      <c r="D103" s="4" t="s">
        <v>8</v>
      </c>
      <c r="E103" s="4" t="s">
        <v>238</v>
      </c>
      <c r="F103" s="5">
        <v>0.9</v>
      </c>
      <c r="G103" s="10">
        <v>1.0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U103" s="8">
        <f t="shared" si="1"/>
        <v>0.9</v>
      </c>
      <c r="V103" s="8">
        <f t="shared" si="2"/>
        <v>75</v>
      </c>
      <c r="W103" s="8" t="str">
        <f t="shared" si="3"/>
        <v/>
      </c>
      <c r="X103" s="8" t="str">
        <f t="shared" si="4"/>
        <v>#N/A</v>
      </c>
    </row>
    <row r="104">
      <c r="A104" s="4">
        <f t="shared" si="5"/>
        <v>103</v>
      </c>
      <c r="B104" s="4" t="s">
        <v>19</v>
      </c>
      <c r="C104" s="4" t="s">
        <v>23</v>
      </c>
      <c r="D104" s="4" t="s">
        <v>8</v>
      </c>
      <c r="E104" s="4" t="s">
        <v>239</v>
      </c>
      <c r="F104" s="5">
        <v>1.0</v>
      </c>
      <c r="G104" s="10">
        <v>1.0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U104" s="8">
        <f t="shared" si="1"/>
        <v>1</v>
      </c>
      <c r="V104" s="8">
        <f t="shared" si="2"/>
        <v>73</v>
      </c>
      <c r="W104" s="8" t="str">
        <f t="shared" si="3"/>
        <v/>
      </c>
      <c r="X104" s="8" t="str">
        <f t="shared" si="4"/>
        <v>#N/A</v>
      </c>
    </row>
    <row r="105">
      <c r="A105" s="4">
        <f t="shared" si="5"/>
        <v>104</v>
      </c>
      <c r="B105" s="4" t="s">
        <v>25</v>
      </c>
      <c r="C105" s="4" t="s">
        <v>27</v>
      </c>
      <c r="D105" s="4" t="s">
        <v>8</v>
      </c>
      <c r="E105" s="4" t="s">
        <v>240</v>
      </c>
      <c r="F105" s="5">
        <v>1.2</v>
      </c>
      <c r="G105" s="10">
        <v>1.0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U105" s="8">
        <f t="shared" si="1"/>
        <v>1.2</v>
      </c>
      <c r="V105" s="8">
        <f t="shared" si="2"/>
        <v>66</v>
      </c>
      <c r="W105" s="8" t="str">
        <f t="shared" si="3"/>
        <v/>
      </c>
      <c r="X105" s="8" t="str">
        <f t="shared" si="4"/>
        <v>#N/A</v>
      </c>
    </row>
    <row r="106">
      <c r="A106" s="4">
        <f t="shared" si="5"/>
        <v>105</v>
      </c>
      <c r="B106" s="4" t="s">
        <v>37</v>
      </c>
      <c r="C106" s="4" t="s">
        <v>37</v>
      </c>
      <c r="D106" s="4" t="s">
        <v>8</v>
      </c>
      <c r="E106" s="4" t="s">
        <v>241</v>
      </c>
      <c r="F106" s="5">
        <v>0.5</v>
      </c>
      <c r="G106" s="10">
        <v>1.0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  <c r="U106" s="8">
        <f t="shared" si="1"/>
        <v>0.5</v>
      </c>
      <c r="V106" s="8">
        <f t="shared" si="2"/>
        <v>113</v>
      </c>
      <c r="W106" s="8" t="str">
        <f t="shared" si="3"/>
        <v/>
      </c>
      <c r="X106" s="8" t="str">
        <f t="shared" si="4"/>
        <v>#N/A</v>
      </c>
    </row>
    <row r="107">
      <c r="A107" s="4">
        <f t="shared" si="5"/>
        <v>106</v>
      </c>
      <c r="B107" s="4" t="s">
        <v>27</v>
      </c>
      <c r="C107" s="4" t="s">
        <v>13</v>
      </c>
      <c r="D107" s="4" t="s">
        <v>8</v>
      </c>
      <c r="E107" s="4" t="s">
        <v>94</v>
      </c>
      <c r="F107" s="5">
        <v>0.8</v>
      </c>
      <c r="G107" s="10">
        <v>1.0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U107" s="8">
        <f t="shared" si="1"/>
        <v>0.8</v>
      </c>
      <c r="V107" s="8">
        <f t="shared" si="2"/>
        <v>83</v>
      </c>
      <c r="W107" s="8" t="str">
        <f t="shared" si="3"/>
        <v/>
      </c>
      <c r="X107" s="8" t="str">
        <f t="shared" si="4"/>
        <v>#N/A</v>
      </c>
    </row>
    <row r="108">
      <c r="A108" s="4">
        <f t="shared" si="5"/>
        <v>107</v>
      </c>
      <c r="B108" s="4" t="s">
        <v>21</v>
      </c>
      <c r="C108" s="4" t="s">
        <v>33</v>
      </c>
      <c r="D108" s="4" t="s">
        <v>8</v>
      </c>
      <c r="E108" s="4" t="s">
        <v>103</v>
      </c>
      <c r="F108" s="5">
        <v>1.8</v>
      </c>
      <c r="G108" s="10">
        <v>1.0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U108" s="8">
        <f t="shared" si="1"/>
        <v>1.8</v>
      </c>
      <c r="V108" s="8">
        <f t="shared" si="2"/>
        <v>48</v>
      </c>
      <c r="W108" s="8" t="str">
        <f t="shared" si="3"/>
        <v/>
      </c>
      <c r="X108" s="8" t="str">
        <f t="shared" si="4"/>
        <v>#N/A</v>
      </c>
    </row>
    <row r="109">
      <c r="A109" s="4">
        <f t="shared" si="5"/>
        <v>108</v>
      </c>
      <c r="B109" s="4" t="s">
        <v>33</v>
      </c>
      <c r="C109" s="4" t="s">
        <v>13</v>
      </c>
      <c r="D109" s="4" t="s">
        <v>8</v>
      </c>
      <c r="E109" s="4" t="s">
        <v>151</v>
      </c>
      <c r="F109" s="5">
        <v>1.4</v>
      </c>
      <c r="G109" s="10">
        <v>1.0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r="U109" s="8">
        <f t="shared" si="1"/>
        <v>1.4</v>
      </c>
      <c r="V109" s="8">
        <f t="shared" si="2"/>
        <v>54</v>
      </c>
      <c r="W109" s="8" t="str">
        <f t="shared" si="3"/>
        <v/>
      </c>
      <c r="X109" s="8" t="str">
        <f t="shared" si="4"/>
        <v>#N/A</v>
      </c>
    </row>
    <row r="110">
      <c r="A110" s="4">
        <f t="shared" si="5"/>
        <v>109</v>
      </c>
      <c r="B110" s="4" t="s">
        <v>38</v>
      </c>
      <c r="C110" s="4" t="s">
        <v>27</v>
      </c>
      <c r="D110" s="4" t="s">
        <v>8</v>
      </c>
      <c r="E110" s="4" t="s">
        <v>242</v>
      </c>
      <c r="F110" s="5">
        <v>0.8</v>
      </c>
      <c r="G110" s="10">
        <v>1.0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U110" s="8">
        <f t="shared" si="1"/>
        <v>0.8</v>
      </c>
      <c r="V110" s="8">
        <f t="shared" si="2"/>
        <v>83</v>
      </c>
      <c r="W110" s="8" t="str">
        <f t="shared" si="3"/>
        <v/>
      </c>
      <c r="X110" s="8" t="str">
        <f t="shared" si="4"/>
        <v>#N/A</v>
      </c>
    </row>
    <row r="111">
      <c r="A111" s="4">
        <f t="shared" si="5"/>
        <v>110</v>
      </c>
      <c r="B111" s="4" t="s">
        <v>12</v>
      </c>
      <c r="C111" s="4" t="s">
        <v>25</v>
      </c>
      <c r="D111" s="4" t="s">
        <v>8</v>
      </c>
      <c r="E111" s="4" t="s">
        <v>150</v>
      </c>
      <c r="F111" s="5">
        <v>0.7</v>
      </c>
      <c r="G111" s="10">
        <v>1.0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U111" s="8">
        <f t="shared" si="1"/>
        <v>0.7</v>
      </c>
      <c r="V111" s="8">
        <f t="shared" si="2"/>
        <v>94</v>
      </c>
      <c r="W111" s="8" t="str">
        <f t="shared" si="3"/>
        <v/>
      </c>
      <c r="X111" s="8" t="str">
        <f t="shared" si="4"/>
        <v>#N/A</v>
      </c>
    </row>
    <row r="112">
      <c r="A112" s="4">
        <f t="shared" si="5"/>
        <v>111</v>
      </c>
      <c r="B112" s="4" t="s">
        <v>13</v>
      </c>
      <c r="C112" s="4" t="s">
        <v>37</v>
      </c>
      <c r="D112" s="4" t="s">
        <v>8</v>
      </c>
      <c r="E112" s="4" t="s">
        <v>243</v>
      </c>
      <c r="F112" s="5">
        <v>0.7</v>
      </c>
      <c r="G112" s="10">
        <v>1.0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U112" s="8">
        <f t="shared" si="1"/>
        <v>0.7</v>
      </c>
      <c r="V112" s="8">
        <f t="shared" si="2"/>
        <v>94</v>
      </c>
      <c r="W112" s="8" t="str">
        <f t="shared" si="3"/>
        <v/>
      </c>
      <c r="X112" s="8" t="str">
        <f t="shared" si="4"/>
        <v>#N/A</v>
      </c>
    </row>
    <row r="113">
      <c r="A113" s="4">
        <f t="shared" si="5"/>
        <v>112</v>
      </c>
      <c r="B113" s="4" t="s">
        <v>19</v>
      </c>
      <c r="C113" s="4" t="s">
        <v>27</v>
      </c>
      <c r="D113" s="4" t="s">
        <v>8</v>
      </c>
      <c r="E113" s="4" t="s">
        <v>141</v>
      </c>
      <c r="F113" s="5">
        <v>0.6</v>
      </c>
      <c r="G113" s="10">
        <v>1.0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U113" s="8">
        <f t="shared" si="1"/>
        <v>0.6</v>
      </c>
      <c r="V113" s="8">
        <f t="shared" si="2"/>
        <v>104</v>
      </c>
      <c r="W113" s="8" t="str">
        <f t="shared" si="3"/>
        <v/>
      </c>
      <c r="X113" s="8" t="str">
        <f t="shared" si="4"/>
        <v>#N/A</v>
      </c>
    </row>
    <row r="114">
      <c r="A114" s="4">
        <f t="shared" si="5"/>
        <v>113</v>
      </c>
      <c r="B114" s="4" t="s">
        <v>25</v>
      </c>
      <c r="C114" s="4" t="s">
        <v>21</v>
      </c>
      <c r="D114" s="4" t="s">
        <v>8</v>
      </c>
      <c r="E114" s="4" t="s">
        <v>115</v>
      </c>
      <c r="F114" s="5">
        <v>0.8</v>
      </c>
      <c r="G114" s="10">
        <v>1.0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U114" s="8">
        <f t="shared" si="1"/>
        <v>0.8</v>
      </c>
      <c r="V114" s="8">
        <f t="shared" si="2"/>
        <v>83</v>
      </c>
      <c r="W114" s="8" t="str">
        <f t="shared" si="3"/>
        <v/>
      </c>
      <c r="X114" s="8" t="str">
        <f t="shared" si="4"/>
        <v>#N/A</v>
      </c>
    </row>
    <row r="115">
      <c r="A115" s="4">
        <f t="shared" si="5"/>
        <v>114</v>
      </c>
      <c r="B115" s="4" t="s">
        <v>37</v>
      </c>
      <c r="C115" s="4" t="s">
        <v>21</v>
      </c>
      <c r="D115" s="4" t="s">
        <v>8</v>
      </c>
      <c r="E115" s="4" t="s">
        <v>161</v>
      </c>
      <c r="F115" s="5">
        <v>1.3</v>
      </c>
      <c r="G115" s="10">
        <v>1.0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U115" s="8">
        <f t="shared" si="1"/>
        <v>1.3</v>
      </c>
      <c r="V115" s="8">
        <f t="shared" si="2"/>
        <v>61</v>
      </c>
      <c r="W115" s="8" t="str">
        <f t="shared" si="3"/>
        <v/>
      </c>
      <c r="X115" s="8" t="str">
        <f t="shared" si="4"/>
        <v>#N/A</v>
      </c>
    </row>
    <row r="116">
      <c r="A116" s="4">
        <f t="shared" si="5"/>
        <v>115</v>
      </c>
      <c r="B116" s="4" t="s">
        <v>27</v>
      </c>
      <c r="C116" s="4" t="s">
        <v>12</v>
      </c>
      <c r="D116" s="4" t="s">
        <v>8</v>
      </c>
      <c r="E116" s="4" t="s">
        <v>99</v>
      </c>
      <c r="F116" s="5">
        <v>1.1</v>
      </c>
      <c r="G116" s="10">
        <v>1.0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U116" s="8">
        <f t="shared" si="1"/>
        <v>1.1</v>
      </c>
      <c r="V116" s="8">
        <f t="shared" si="2"/>
        <v>71</v>
      </c>
      <c r="W116" s="8" t="str">
        <f t="shared" si="3"/>
        <v/>
      </c>
      <c r="X116" s="8" t="str">
        <f t="shared" si="4"/>
        <v>#N/A</v>
      </c>
    </row>
    <row r="117">
      <c r="A117" s="4">
        <f t="shared" si="5"/>
        <v>116</v>
      </c>
      <c r="B117" s="4" t="s">
        <v>21</v>
      </c>
      <c r="C117" s="4" t="s">
        <v>25</v>
      </c>
      <c r="D117" s="4" t="s">
        <v>8</v>
      </c>
      <c r="E117" s="4" t="s">
        <v>244</v>
      </c>
      <c r="F117" s="5">
        <v>0.8</v>
      </c>
      <c r="G117" s="10">
        <v>1.0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U117" s="8">
        <f t="shared" si="1"/>
        <v>0.8</v>
      </c>
      <c r="V117" s="8">
        <f t="shared" si="2"/>
        <v>83</v>
      </c>
      <c r="W117" s="8" t="str">
        <f t="shared" si="3"/>
        <v/>
      </c>
      <c r="X117" s="8" t="str">
        <f t="shared" si="4"/>
        <v>#N/A</v>
      </c>
    </row>
    <row r="118">
      <c r="A118" s="4">
        <f t="shared" si="5"/>
        <v>117</v>
      </c>
      <c r="B118" s="4" t="s">
        <v>33</v>
      </c>
      <c r="C118" s="4" t="s">
        <v>13</v>
      </c>
      <c r="D118" s="4" t="s">
        <v>8</v>
      </c>
      <c r="E118" s="4" t="s">
        <v>107</v>
      </c>
      <c r="F118" s="5">
        <v>0.9</v>
      </c>
      <c r="G118" s="10">
        <v>1.0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U118" s="8">
        <f t="shared" si="1"/>
        <v>0.9</v>
      </c>
      <c r="V118" s="8">
        <f t="shared" si="2"/>
        <v>75</v>
      </c>
      <c r="W118" s="8" t="str">
        <f t="shared" si="3"/>
        <v/>
      </c>
      <c r="X118" s="8" t="str">
        <f t="shared" si="4"/>
        <v>#N/A</v>
      </c>
    </row>
    <row r="119">
      <c r="A119" s="4">
        <f t="shared" si="5"/>
        <v>118</v>
      </c>
      <c r="B119" s="4" t="s">
        <v>38</v>
      </c>
      <c r="C119" s="4" t="s">
        <v>38</v>
      </c>
      <c r="D119" s="4" t="s">
        <v>8</v>
      </c>
      <c r="E119" s="4" t="s">
        <v>245</v>
      </c>
      <c r="F119" s="5">
        <v>0.7</v>
      </c>
      <c r="G119" s="10">
        <v>1.0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U119" s="8">
        <f t="shared" si="1"/>
        <v>0.7</v>
      </c>
      <c r="V119" s="8">
        <f t="shared" si="2"/>
        <v>94</v>
      </c>
      <c r="W119" s="8" t="str">
        <f t="shared" si="3"/>
        <v/>
      </c>
      <c r="X119" s="8" t="str">
        <f t="shared" si="4"/>
        <v>#N/A</v>
      </c>
    </row>
    <row r="120">
      <c r="A120" s="4">
        <f t="shared" si="5"/>
        <v>119</v>
      </c>
      <c r="B120" s="4" t="s">
        <v>12</v>
      </c>
      <c r="C120" s="4" t="s">
        <v>19</v>
      </c>
      <c r="D120" s="4" t="s">
        <v>8</v>
      </c>
      <c r="E120" s="4" t="s">
        <v>246</v>
      </c>
      <c r="F120" s="5">
        <v>0.7</v>
      </c>
      <c r="G120" s="10">
        <v>2.0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U120" s="8">
        <f t="shared" si="1"/>
        <v>0.7</v>
      </c>
      <c r="V120" s="8">
        <f t="shared" si="2"/>
        <v>94</v>
      </c>
      <c r="W120" s="8" t="str">
        <f t="shared" si="3"/>
        <v/>
      </c>
      <c r="X120" s="8" t="str">
        <f t="shared" si="4"/>
        <v>#N/A</v>
      </c>
    </row>
    <row r="121">
      <c r="A121" s="4">
        <f t="shared" si="5"/>
        <v>120</v>
      </c>
      <c r="B121" s="4" t="s">
        <v>13</v>
      </c>
      <c r="C121" s="4" t="s">
        <v>13</v>
      </c>
      <c r="D121" s="4" t="s">
        <v>8</v>
      </c>
      <c r="E121" s="4" t="s">
        <v>247</v>
      </c>
      <c r="F121" s="5">
        <v>0.5</v>
      </c>
      <c r="G121" s="10">
        <v>1.0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U121" s="8">
        <f t="shared" si="1"/>
        <v>0.5</v>
      </c>
      <c r="V121" s="8">
        <f t="shared" si="2"/>
        <v>113</v>
      </c>
      <c r="W121" s="8" t="str">
        <f t="shared" si="3"/>
        <v/>
      </c>
      <c r="X121" s="8" t="str">
        <f t="shared" si="4"/>
        <v>#N/A</v>
      </c>
    </row>
    <row r="122">
      <c r="A122" s="4">
        <f t="shared" si="5"/>
        <v>121</v>
      </c>
      <c r="B122" s="4" t="s">
        <v>19</v>
      </c>
      <c r="C122" s="4" t="s">
        <v>38</v>
      </c>
      <c r="D122" s="4" t="s">
        <v>8</v>
      </c>
      <c r="E122" s="4" t="s">
        <v>111</v>
      </c>
      <c r="F122" s="5">
        <v>0.7</v>
      </c>
      <c r="G122" s="10">
        <v>1.0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U122" s="8">
        <f t="shared" si="1"/>
        <v>0.7</v>
      </c>
      <c r="V122" s="8">
        <f t="shared" si="2"/>
        <v>94</v>
      </c>
      <c r="W122" s="8" t="str">
        <f t="shared" si="3"/>
        <v/>
      </c>
      <c r="X122" s="8" t="str">
        <f t="shared" si="4"/>
        <v>#N/A</v>
      </c>
    </row>
    <row r="123">
      <c r="A123" s="4">
        <f t="shared" si="5"/>
        <v>122</v>
      </c>
      <c r="B123" s="4" t="s">
        <v>25</v>
      </c>
      <c r="C123" s="4" t="s">
        <v>19</v>
      </c>
      <c r="D123" s="4" t="s">
        <v>8</v>
      </c>
      <c r="E123" s="4" t="s">
        <v>248</v>
      </c>
      <c r="F123" s="5">
        <v>0.8</v>
      </c>
      <c r="G123" s="10">
        <v>1.0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U123" s="8">
        <f t="shared" si="1"/>
        <v>0.8</v>
      </c>
      <c r="V123" s="8">
        <f t="shared" si="2"/>
        <v>83</v>
      </c>
      <c r="W123" s="8" t="str">
        <f t="shared" si="3"/>
        <v/>
      </c>
      <c r="X123" s="8" t="str">
        <f t="shared" si="4"/>
        <v>#N/A</v>
      </c>
    </row>
    <row r="124">
      <c r="A124" s="4">
        <f t="shared" si="5"/>
        <v>123</v>
      </c>
      <c r="B124" s="4" t="s">
        <v>37</v>
      </c>
      <c r="C124" s="4" t="s">
        <v>19</v>
      </c>
      <c r="D124" s="4" t="s">
        <v>8</v>
      </c>
      <c r="E124" s="4" t="s">
        <v>249</v>
      </c>
      <c r="F124" s="5">
        <v>0.8</v>
      </c>
      <c r="G124" s="10">
        <v>2.0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U124" s="8">
        <f t="shared" si="1"/>
        <v>0.8</v>
      </c>
      <c r="V124" s="8">
        <f t="shared" si="2"/>
        <v>83</v>
      </c>
      <c r="W124" s="8" t="str">
        <f t="shared" si="3"/>
        <v/>
      </c>
      <c r="X124" s="8" t="str">
        <f t="shared" si="4"/>
        <v>#N/A</v>
      </c>
    </row>
    <row r="125">
      <c r="A125" s="4">
        <f t="shared" si="5"/>
        <v>124</v>
      </c>
      <c r="B125" s="4" t="s">
        <v>27</v>
      </c>
      <c r="C125" s="4" t="s">
        <v>27</v>
      </c>
      <c r="D125" s="4" t="s">
        <v>8</v>
      </c>
      <c r="E125" s="4" t="s">
        <v>250</v>
      </c>
      <c r="F125" s="5">
        <v>0.5</v>
      </c>
      <c r="G125" s="10">
        <v>1.0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U125" s="8">
        <f t="shared" si="1"/>
        <v>0.5</v>
      </c>
      <c r="V125" s="8">
        <f t="shared" si="2"/>
        <v>113</v>
      </c>
      <c r="W125" s="8" t="str">
        <f t="shared" si="3"/>
        <v/>
      </c>
      <c r="X125" s="8" t="str">
        <f t="shared" si="4"/>
        <v>#N/A</v>
      </c>
    </row>
    <row r="126">
      <c r="A126" s="4">
        <f t="shared" si="5"/>
        <v>125</v>
      </c>
      <c r="B126" s="4" t="s">
        <v>21</v>
      </c>
      <c r="C126" s="4" t="s">
        <v>33</v>
      </c>
      <c r="D126" s="4" t="s">
        <v>8</v>
      </c>
      <c r="E126" s="4" t="s">
        <v>251</v>
      </c>
      <c r="F126" s="5">
        <v>2.2</v>
      </c>
      <c r="G126" s="10">
        <v>1.0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U126" s="8">
        <f t="shared" si="1"/>
        <v>2.2</v>
      </c>
      <c r="V126" s="8">
        <f t="shared" si="2"/>
        <v>37</v>
      </c>
      <c r="W126" s="8" t="str">
        <f t="shared" si="3"/>
        <v/>
      </c>
      <c r="X126" s="8" t="str">
        <f t="shared" si="4"/>
        <v>#N/A</v>
      </c>
    </row>
    <row r="127">
      <c r="A127" s="4">
        <f t="shared" si="5"/>
        <v>126</v>
      </c>
      <c r="B127" s="4" t="s">
        <v>33</v>
      </c>
      <c r="C127" s="4" t="s">
        <v>33</v>
      </c>
      <c r="D127" s="4" t="s">
        <v>8</v>
      </c>
      <c r="E127" s="4" t="s">
        <v>252</v>
      </c>
      <c r="F127" s="5">
        <v>0.6</v>
      </c>
      <c r="G127" s="10">
        <v>1.0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U127" s="8">
        <f t="shared" si="1"/>
        <v>0.6</v>
      </c>
      <c r="V127" s="8">
        <f t="shared" si="2"/>
        <v>104</v>
      </c>
      <c r="W127" s="8" t="str">
        <f t="shared" si="3"/>
        <v/>
      </c>
      <c r="X127" s="8" t="str">
        <f t="shared" si="4"/>
        <v>#N/A</v>
      </c>
    </row>
    <row r="128">
      <c r="A128" s="4">
        <f t="shared" si="5"/>
        <v>127</v>
      </c>
      <c r="B128" s="4" t="s">
        <v>38</v>
      </c>
      <c r="C128" s="4" t="s">
        <v>25</v>
      </c>
      <c r="D128" s="4" t="s">
        <v>8</v>
      </c>
      <c r="E128" s="4" t="s">
        <v>169</v>
      </c>
      <c r="F128" s="5">
        <v>0.7</v>
      </c>
      <c r="G128" s="10">
        <v>1.0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U128" s="8">
        <f t="shared" si="1"/>
        <v>0.7</v>
      </c>
      <c r="V128" s="8">
        <f t="shared" si="2"/>
        <v>94</v>
      </c>
      <c r="W128" s="8" t="str">
        <f t="shared" si="3"/>
        <v/>
      </c>
      <c r="X128" s="8" t="str">
        <f t="shared" si="4"/>
        <v>#N/A</v>
      </c>
    </row>
    <row r="129">
      <c r="A129" s="4">
        <f t="shared" si="5"/>
        <v>128</v>
      </c>
      <c r="B129" s="4" t="s">
        <v>12</v>
      </c>
      <c r="C129" s="4" t="s">
        <v>12</v>
      </c>
      <c r="D129" s="4" t="s">
        <v>8</v>
      </c>
      <c r="E129" s="4" t="s">
        <v>253</v>
      </c>
      <c r="F129" s="5">
        <v>0.5</v>
      </c>
      <c r="G129" s="10">
        <v>1.0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U129" s="8">
        <f t="shared" si="1"/>
        <v>0.5</v>
      </c>
      <c r="V129" s="8">
        <f t="shared" si="2"/>
        <v>113</v>
      </c>
      <c r="W129" s="8" t="str">
        <f t="shared" si="3"/>
        <v/>
      </c>
      <c r="X129" s="8" t="str">
        <f t="shared" si="4"/>
        <v>#N/A</v>
      </c>
    </row>
    <row r="130">
      <c r="A130" s="4">
        <f t="shared" si="5"/>
        <v>129</v>
      </c>
      <c r="B130" s="4" t="s">
        <v>13</v>
      </c>
      <c r="C130" s="4" t="s">
        <v>13</v>
      </c>
      <c r="D130" s="4" t="s">
        <v>8</v>
      </c>
      <c r="E130" s="4" t="s">
        <v>254</v>
      </c>
      <c r="F130" s="5">
        <v>0.6</v>
      </c>
      <c r="G130" s="10">
        <v>1.0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U130" s="8">
        <f t="shared" si="1"/>
        <v>0.6</v>
      </c>
      <c r="V130" s="8">
        <f t="shared" si="2"/>
        <v>104</v>
      </c>
      <c r="W130" s="8" t="str">
        <f t="shared" si="3"/>
        <v/>
      </c>
      <c r="X130" s="8" t="str">
        <f t="shared" si="4"/>
        <v>#N/A</v>
      </c>
    </row>
    <row r="131">
      <c r="A131" s="4">
        <f t="shared" si="5"/>
        <v>130</v>
      </c>
      <c r="B131" s="4" t="s">
        <v>19</v>
      </c>
      <c r="C131" s="4" t="s">
        <v>13</v>
      </c>
      <c r="D131" s="4" t="s">
        <v>8</v>
      </c>
      <c r="E131" s="4" t="s">
        <v>255</v>
      </c>
      <c r="F131" s="5">
        <v>0.6</v>
      </c>
      <c r="G131" s="10">
        <v>1.0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U131" s="8">
        <f t="shared" si="1"/>
        <v>0.6</v>
      </c>
      <c r="V131" s="8">
        <f t="shared" si="2"/>
        <v>104</v>
      </c>
      <c r="W131" s="8" t="str">
        <f t="shared" si="3"/>
        <v/>
      </c>
      <c r="X131" s="8" t="str">
        <f t="shared" si="4"/>
        <v>#N/A</v>
      </c>
    </row>
    <row r="132">
      <c r="A132" s="4">
        <f t="shared" si="5"/>
        <v>131</v>
      </c>
      <c r="B132" s="4" t="s">
        <v>25</v>
      </c>
      <c r="C132" s="4" t="s">
        <v>25</v>
      </c>
      <c r="D132" s="4" t="s">
        <v>8</v>
      </c>
      <c r="E132" s="4" t="s">
        <v>166</v>
      </c>
      <c r="F132" s="5">
        <v>0.5</v>
      </c>
      <c r="G132" s="10">
        <v>1.0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U132" s="8">
        <f t="shared" si="1"/>
        <v>0.5</v>
      </c>
      <c r="V132" s="8">
        <f t="shared" si="2"/>
        <v>113</v>
      </c>
      <c r="W132" s="8" t="str">
        <f t="shared" si="3"/>
        <v/>
      </c>
      <c r="X132" s="8" t="str">
        <f t="shared" si="4"/>
        <v>#N/A</v>
      </c>
    </row>
    <row r="133">
      <c r="A133" s="4">
        <f t="shared" si="5"/>
        <v>132</v>
      </c>
      <c r="B133" s="4" t="s">
        <v>37</v>
      </c>
      <c r="C133" s="4" t="s">
        <v>37</v>
      </c>
      <c r="D133" s="4" t="s">
        <v>8</v>
      </c>
      <c r="E133" s="4" t="s">
        <v>66</v>
      </c>
      <c r="F133" s="5">
        <v>0.9</v>
      </c>
      <c r="G133" s="10">
        <v>1.0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U133" s="8">
        <f t="shared" si="1"/>
        <v>0.9</v>
      </c>
      <c r="V133" s="8">
        <f t="shared" si="2"/>
        <v>75</v>
      </c>
      <c r="W133" s="8" t="str">
        <f t="shared" si="3"/>
        <v/>
      </c>
      <c r="X133" s="8" t="str">
        <f t="shared" si="4"/>
        <v>#N/A</v>
      </c>
    </row>
    <row r="134">
      <c r="A134" s="4">
        <f t="shared" si="5"/>
        <v>133</v>
      </c>
      <c r="B134" s="4" t="s">
        <v>27</v>
      </c>
      <c r="C134" s="4" t="s">
        <v>19</v>
      </c>
      <c r="D134" s="4" t="s">
        <v>8</v>
      </c>
      <c r="E134" s="4" t="s">
        <v>100</v>
      </c>
      <c r="F134" s="5">
        <v>0.6</v>
      </c>
      <c r="G134" s="10">
        <v>1.0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U134" s="8">
        <f t="shared" si="1"/>
        <v>0.6</v>
      </c>
      <c r="V134" s="8">
        <f t="shared" si="2"/>
        <v>104</v>
      </c>
      <c r="W134" s="8" t="str">
        <f t="shared" si="3"/>
        <v/>
      </c>
      <c r="X134" s="8" t="str">
        <f t="shared" si="4"/>
        <v>#N/A</v>
      </c>
    </row>
    <row r="135">
      <c r="A135" s="4">
        <f t="shared" si="5"/>
        <v>134</v>
      </c>
      <c r="B135" s="4" t="s">
        <v>21</v>
      </c>
      <c r="C135" s="4" t="s">
        <v>21</v>
      </c>
      <c r="D135" s="4" t="s">
        <v>8</v>
      </c>
      <c r="E135" s="4" t="s">
        <v>256</v>
      </c>
      <c r="F135" s="5">
        <v>0.7</v>
      </c>
      <c r="G135" s="10">
        <v>1.0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U135" s="8">
        <f t="shared" si="1"/>
        <v>0.7</v>
      </c>
      <c r="V135" s="8">
        <f t="shared" si="2"/>
        <v>94</v>
      </c>
      <c r="W135" s="8" t="str">
        <f t="shared" si="3"/>
        <v/>
      </c>
      <c r="X135" s="8" t="str">
        <f t="shared" si="4"/>
        <v>#N/A</v>
      </c>
    </row>
    <row r="136">
      <c r="A136" s="4">
        <f t="shared" si="5"/>
        <v>135</v>
      </c>
      <c r="B136" s="4" t="s">
        <v>33</v>
      </c>
      <c r="C136" s="4" t="s">
        <v>33</v>
      </c>
      <c r="D136" s="4" t="s">
        <v>8</v>
      </c>
      <c r="E136" s="4" t="s">
        <v>257</v>
      </c>
      <c r="F136" s="5">
        <v>0.5</v>
      </c>
      <c r="G136" s="10">
        <v>1.0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U136" s="8">
        <f t="shared" si="1"/>
        <v>0.5</v>
      </c>
      <c r="V136" s="8">
        <f t="shared" si="2"/>
        <v>113</v>
      </c>
      <c r="W136" s="8" t="str">
        <f t="shared" si="3"/>
        <v/>
      </c>
      <c r="X136" s="8" t="str">
        <f t="shared" si="4"/>
        <v>#N/A</v>
      </c>
    </row>
    <row r="137">
      <c r="A137" s="4">
        <f t="shared" si="5"/>
        <v>136</v>
      </c>
      <c r="B137" s="4" t="s">
        <v>38</v>
      </c>
      <c r="C137" s="4" t="s">
        <v>38</v>
      </c>
      <c r="D137" s="4" t="s">
        <v>8</v>
      </c>
      <c r="E137" s="4" t="s">
        <v>168</v>
      </c>
      <c r="F137" s="5">
        <v>0.5</v>
      </c>
      <c r="G137" s="10">
        <v>1.0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U137" s="8">
        <f t="shared" si="1"/>
        <v>0.5</v>
      </c>
      <c r="V137" s="8">
        <f t="shared" si="2"/>
        <v>113</v>
      </c>
      <c r="W137" s="8" t="str">
        <f t="shared" si="3"/>
        <v/>
      </c>
      <c r="X137" s="8" t="str">
        <f t="shared" si="4"/>
        <v>#N/A</v>
      </c>
    </row>
    <row r="138">
      <c r="A138" s="4">
        <f t="shared" si="5"/>
        <v>137</v>
      </c>
      <c r="B138" s="4" t="s">
        <v>12</v>
      </c>
      <c r="C138" s="4" t="s">
        <v>12</v>
      </c>
      <c r="D138" s="4" t="s">
        <v>8</v>
      </c>
      <c r="E138" s="4" t="s">
        <v>135</v>
      </c>
      <c r="F138" s="5">
        <v>0.5</v>
      </c>
      <c r="G138" s="10">
        <v>1.0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U138" s="8">
        <f t="shared" si="1"/>
        <v>0.5</v>
      </c>
      <c r="V138" s="8">
        <f t="shared" si="2"/>
        <v>113</v>
      </c>
      <c r="W138" s="8" t="str">
        <f t="shared" si="3"/>
        <v/>
      </c>
      <c r="X138" s="8" t="str">
        <f t="shared" si="4"/>
        <v>#N/A</v>
      </c>
    </row>
    <row r="139">
      <c r="A139" s="4">
        <f t="shared" si="5"/>
        <v>138</v>
      </c>
      <c r="B139" s="4" t="s">
        <v>13</v>
      </c>
      <c r="C139" s="4" t="s">
        <v>13</v>
      </c>
      <c r="D139" s="4" t="s">
        <v>8</v>
      </c>
      <c r="E139" s="4" t="s">
        <v>130</v>
      </c>
      <c r="F139" s="5">
        <v>0.9</v>
      </c>
      <c r="G139" s="10">
        <v>1.0</v>
      </c>
      <c r="H139" s="7"/>
      <c r="I139" s="7"/>
      <c r="J139" s="7"/>
      <c r="K139" s="7"/>
      <c r="L139" s="7"/>
      <c r="M139" s="7"/>
      <c r="N139" s="7"/>
      <c r="O139" s="7"/>
      <c r="P139" s="7"/>
      <c r="Q139" s="7"/>
      <c r="U139" s="8">
        <f t="shared" si="1"/>
        <v>0.9</v>
      </c>
      <c r="V139" s="8">
        <f t="shared" si="2"/>
        <v>75</v>
      </c>
      <c r="W139" s="8" t="str">
        <f t="shared" si="3"/>
        <v/>
      </c>
      <c r="X139" s="8" t="str">
        <f t="shared" si="4"/>
        <v>#N/A</v>
      </c>
    </row>
    <row r="140">
      <c r="A140" s="4">
        <f t="shared" si="5"/>
        <v>139</v>
      </c>
      <c r="B140" s="4" t="s">
        <v>19</v>
      </c>
      <c r="C140" s="4" t="s">
        <v>19</v>
      </c>
      <c r="D140" s="4" t="s">
        <v>8</v>
      </c>
      <c r="E140" s="4" t="s">
        <v>258</v>
      </c>
      <c r="F140" s="5">
        <v>0.5</v>
      </c>
      <c r="G140" s="10">
        <v>1.0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U140" s="8">
        <f t="shared" si="1"/>
        <v>0.5</v>
      </c>
      <c r="V140" s="8">
        <f t="shared" si="2"/>
        <v>113</v>
      </c>
      <c r="W140" s="8" t="str">
        <f t="shared" si="3"/>
        <v/>
      </c>
      <c r="X140" s="8" t="str">
        <f t="shared" si="4"/>
        <v>#N/A</v>
      </c>
    </row>
    <row r="141">
      <c r="A141" s="4">
        <f t="shared" si="5"/>
        <v>140</v>
      </c>
      <c r="B141" s="4" t="s">
        <v>25</v>
      </c>
      <c r="C141" s="4" t="s">
        <v>25</v>
      </c>
      <c r="D141" s="4" t="s">
        <v>8</v>
      </c>
      <c r="E141" s="4" t="s">
        <v>259</v>
      </c>
      <c r="F141" s="5">
        <v>0.5</v>
      </c>
      <c r="G141" s="10">
        <v>1.0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  <c r="U141" s="8">
        <f t="shared" si="1"/>
        <v>0.5</v>
      </c>
      <c r="V141" s="8">
        <f t="shared" si="2"/>
        <v>113</v>
      </c>
      <c r="W141" s="8" t="str">
        <f t="shared" si="3"/>
        <v/>
      </c>
      <c r="X141" s="8" t="str">
        <f t="shared" si="4"/>
        <v>#N/A</v>
      </c>
    </row>
    <row r="142">
      <c r="A142" s="4">
        <f t="shared" si="5"/>
        <v>141</v>
      </c>
      <c r="B142" s="4" t="s">
        <v>37</v>
      </c>
      <c r="C142" s="4" t="s">
        <v>37</v>
      </c>
      <c r="D142" s="4" t="s">
        <v>8</v>
      </c>
      <c r="E142" s="4" t="s">
        <v>260</v>
      </c>
      <c r="F142" s="5">
        <v>0.5</v>
      </c>
      <c r="G142" s="10">
        <v>4.0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U142" s="8">
        <f t="shared" si="1"/>
        <v>0.5</v>
      </c>
      <c r="V142" s="8">
        <f t="shared" si="2"/>
        <v>113</v>
      </c>
      <c r="W142" s="8" t="str">
        <f t="shared" si="3"/>
        <v/>
      </c>
      <c r="X142" s="8" t="str">
        <f t="shared" si="4"/>
        <v>#N/A</v>
      </c>
    </row>
    <row r="143">
      <c r="A143" s="4">
        <f t="shared" si="5"/>
        <v>142</v>
      </c>
      <c r="B143" s="4" t="s">
        <v>27</v>
      </c>
      <c r="C143" s="4" t="s">
        <v>27</v>
      </c>
      <c r="D143" s="4" t="s">
        <v>8</v>
      </c>
      <c r="E143" s="4" t="s">
        <v>261</v>
      </c>
      <c r="F143" s="5">
        <v>0.5</v>
      </c>
      <c r="G143" s="10">
        <v>1.0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U143" s="8">
        <f t="shared" si="1"/>
        <v>0.5</v>
      </c>
      <c r="V143" s="8">
        <f t="shared" si="2"/>
        <v>113</v>
      </c>
      <c r="W143" s="8" t="str">
        <f t="shared" si="3"/>
        <v/>
      </c>
      <c r="X143" s="8" t="str">
        <f t="shared" si="4"/>
        <v>#N/A</v>
      </c>
    </row>
    <row r="144">
      <c r="A144" s="4">
        <f t="shared" si="5"/>
        <v>143</v>
      </c>
      <c r="B144" s="4" t="s">
        <v>33</v>
      </c>
      <c r="C144" s="4" t="s">
        <v>33</v>
      </c>
      <c r="D144" s="4" t="s">
        <v>8</v>
      </c>
      <c r="E144" s="4" t="s">
        <v>116</v>
      </c>
      <c r="F144" s="5">
        <v>0.6</v>
      </c>
      <c r="G144" s="10">
        <v>1.0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U144" s="8">
        <f t="shared" si="1"/>
        <v>0.6</v>
      </c>
      <c r="V144" s="8">
        <f t="shared" si="2"/>
        <v>104</v>
      </c>
      <c r="W144" s="8" t="str">
        <f t="shared" si="3"/>
        <v/>
      </c>
      <c r="X144" s="8" t="str">
        <f t="shared" si="4"/>
        <v>#N/A</v>
      </c>
    </row>
    <row r="145">
      <c r="A145" s="4">
        <f t="shared" si="5"/>
        <v>144</v>
      </c>
      <c r="B145" s="4" t="s">
        <v>38</v>
      </c>
      <c r="C145" s="4" t="s">
        <v>38</v>
      </c>
      <c r="D145" s="4" t="s">
        <v>8</v>
      </c>
      <c r="E145" s="4" t="s">
        <v>262</v>
      </c>
      <c r="F145" s="5">
        <v>0.5</v>
      </c>
      <c r="G145" s="10">
        <v>1.0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U145" s="8">
        <f t="shared" si="1"/>
        <v>0.5</v>
      </c>
      <c r="V145" s="8">
        <f t="shared" si="2"/>
        <v>113</v>
      </c>
      <c r="W145" s="8" t="str">
        <f t="shared" si="3"/>
        <v/>
      </c>
      <c r="X145" s="8" t="str">
        <f t="shared" si="4"/>
        <v>#N/A</v>
      </c>
    </row>
    <row r="146">
      <c r="A146" s="4">
        <f t="shared" si="5"/>
        <v>145</v>
      </c>
      <c r="B146" s="4" t="s">
        <v>12</v>
      </c>
      <c r="C146" s="4" t="s">
        <v>13</v>
      </c>
      <c r="D146" s="4" t="s">
        <v>8</v>
      </c>
      <c r="E146" s="4" t="s">
        <v>263</v>
      </c>
      <c r="F146" s="5">
        <v>0.8</v>
      </c>
      <c r="G146" s="10">
        <v>1.0</v>
      </c>
      <c r="H146" s="7"/>
      <c r="I146" s="7"/>
      <c r="J146" s="7"/>
      <c r="K146" s="7"/>
      <c r="L146" s="7"/>
      <c r="M146" s="7"/>
      <c r="N146" s="7"/>
      <c r="O146" s="7"/>
      <c r="P146" s="7"/>
      <c r="Q146" s="7"/>
      <c r="U146" s="8">
        <f t="shared" si="1"/>
        <v>0.8</v>
      </c>
      <c r="V146" s="8">
        <f t="shared" si="2"/>
        <v>83</v>
      </c>
      <c r="W146" s="8" t="str">
        <f t="shared" si="3"/>
        <v/>
      </c>
      <c r="X146" s="8" t="str">
        <f t="shared" si="4"/>
        <v>#N/A</v>
      </c>
    </row>
    <row r="147">
      <c r="A147" s="4">
        <f t="shared" si="5"/>
        <v>146</v>
      </c>
      <c r="B147" s="4" t="s">
        <v>13</v>
      </c>
      <c r="C147" s="4" t="s">
        <v>13</v>
      </c>
      <c r="D147" s="4" t="s">
        <v>8</v>
      </c>
      <c r="E147" s="4" t="s">
        <v>264</v>
      </c>
      <c r="F147" s="5">
        <v>0.5</v>
      </c>
      <c r="G147" s="10">
        <v>1.0</v>
      </c>
      <c r="H147" s="7"/>
      <c r="I147" s="7"/>
      <c r="J147" s="7"/>
      <c r="K147" s="7"/>
      <c r="L147" s="7"/>
      <c r="M147" s="7"/>
      <c r="N147" s="7"/>
      <c r="O147" s="7"/>
      <c r="P147" s="7"/>
      <c r="Q147" s="7"/>
      <c r="U147" s="8">
        <f t="shared" si="1"/>
        <v>0.5</v>
      </c>
      <c r="V147" s="8">
        <f t="shared" si="2"/>
        <v>113</v>
      </c>
      <c r="W147" s="8" t="str">
        <f t="shared" si="3"/>
        <v/>
      </c>
      <c r="X147" s="8" t="str">
        <f t="shared" si="4"/>
        <v>#N/A</v>
      </c>
    </row>
    <row r="148">
      <c r="A148" s="4">
        <f t="shared" si="5"/>
        <v>147</v>
      </c>
      <c r="B148" s="4" t="s">
        <v>19</v>
      </c>
      <c r="C148" s="4" t="s">
        <v>19</v>
      </c>
      <c r="D148" s="4" t="s">
        <v>8</v>
      </c>
      <c r="E148" s="4" t="s">
        <v>265</v>
      </c>
      <c r="F148" s="5">
        <v>0.5</v>
      </c>
      <c r="G148" s="10">
        <v>1.0</v>
      </c>
      <c r="H148" s="7"/>
      <c r="I148" s="7"/>
      <c r="J148" s="7"/>
      <c r="K148" s="7"/>
      <c r="L148" s="7"/>
      <c r="M148" s="7"/>
      <c r="N148" s="7"/>
      <c r="O148" s="7"/>
      <c r="P148" s="7"/>
      <c r="Q148" s="7"/>
      <c r="U148" s="8">
        <f t="shared" si="1"/>
        <v>0.5</v>
      </c>
      <c r="V148" s="8">
        <f t="shared" si="2"/>
        <v>113</v>
      </c>
      <c r="W148" s="8" t="str">
        <f t="shared" si="3"/>
        <v/>
      </c>
      <c r="X148" s="8" t="str">
        <f t="shared" si="4"/>
        <v>#N/A</v>
      </c>
    </row>
    <row r="149">
      <c r="A149" s="4">
        <f t="shared" si="5"/>
        <v>148</v>
      </c>
      <c r="B149" s="4" t="s">
        <v>25</v>
      </c>
      <c r="C149" s="4" t="s">
        <v>25</v>
      </c>
      <c r="D149" s="4" t="s">
        <v>8</v>
      </c>
      <c r="E149" s="4" t="s">
        <v>165</v>
      </c>
      <c r="F149" s="5">
        <v>0.5</v>
      </c>
      <c r="G149" s="10">
        <v>1.0</v>
      </c>
      <c r="H149" s="7"/>
      <c r="I149" s="7"/>
      <c r="J149" s="7"/>
      <c r="K149" s="7"/>
      <c r="L149" s="7"/>
      <c r="M149" s="7"/>
      <c r="N149" s="7"/>
      <c r="O149" s="7"/>
      <c r="P149" s="7"/>
      <c r="Q149" s="7"/>
      <c r="U149" s="8">
        <f t="shared" si="1"/>
        <v>0.5</v>
      </c>
      <c r="V149" s="8">
        <f t="shared" si="2"/>
        <v>113</v>
      </c>
      <c r="W149" s="8" t="str">
        <f t="shared" si="3"/>
        <v/>
      </c>
      <c r="X149" s="8" t="str">
        <f t="shared" si="4"/>
        <v>#N/A</v>
      </c>
    </row>
    <row r="150">
      <c r="A150" s="4">
        <f t="shared" si="5"/>
        <v>149</v>
      </c>
      <c r="B150" s="4" t="s">
        <v>37</v>
      </c>
      <c r="C150" s="4" t="s">
        <v>13</v>
      </c>
      <c r="D150" s="4" t="s">
        <v>8</v>
      </c>
      <c r="E150" s="4" t="s">
        <v>80</v>
      </c>
      <c r="F150" s="5">
        <v>0.5</v>
      </c>
      <c r="G150" s="10">
        <v>1.0</v>
      </c>
      <c r="H150" s="7"/>
      <c r="I150" s="7"/>
      <c r="J150" s="7"/>
      <c r="K150" s="7"/>
      <c r="L150" s="7"/>
      <c r="M150" s="7"/>
      <c r="N150" s="7"/>
      <c r="O150" s="7"/>
      <c r="P150" s="7"/>
      <c r="Q150" s="7"/>
      <c r="U150" s="8">
        <f t="shared" si="1"/>
        <v>0.5</v>
      </c>
      <c r="V150" s="8">
        <f t="shared" si="2"/>
        <v>113</v>
      </c>
      <c r="W150" s="8" t="str">
        <f t="shared" si="3"/>
        <v/>
      </c>
      <c r="X150" s="8" t="str">
        <f t="shared" si="4"/>
        <v>#N/A</v>
      </c>
    </row>
    <row r="151">
      <c r="A151" s="4">
        <f t="shared" si="5"/>
        <v>150</v>
      </c>
      <c r="B151" s="4" t="s">
        <v>27</v>
      </c>
      <c r="C151" s="4" t="s">
        <v>27</v>
      </c>
      <c r="D151" s="4" t="s">
        <v>8</v>
      </c>
      <c r="E151" s="4" t="s">
        <v>266</v>
      </c>
      <c r="F151" s="5">
        <v>0.5</v>
      </c>
      <c r="G151" s="10">
        <v>1.0</v>
      </c>
      <c r="H151" s="7"/>
      <c r="I151" s="7"/>
      <c r="J151" s="7"/>
      <c r="K151" s="7"/>
      <c r="L151" s="7"/>
      <c r="M151" s="7"/>
      <c r="N151" s="7"/>
      <c r="O151" s="7"/>
      <c r="P151" s="7"/>
      <c r="Q151" s="7"/>
      <c r="U151" s="8">
        <f t="shared" si="1"/>
        <v>0.5</v>
      </c>
      <c r="V151" s="8">
        <f t="shared" si="2"/>
        <v>113</v>
      </c>
      <c r="W151" s="8" t="str">
        <f t="shared" si="3"/>
        <v/>
      </c>
      <c r="X151" s="8" t="str">
        <f t="shared" si="4"/>
        <v>#N/A</v>
      </c>
    </row>
    <row r="152">
      <c r="A152" s="4">
        <f t="shared" si="5"/>
        <v>151</v>
      </c>
      <c r="B152" s="4" t="s">
        <v>33</v>
      </c>
      <c r="C152" s="4" t="s">
        <v>13</v>
      </c>
      <c r="D152" s="4" t="s">
        <v>8</v>
      </c>
      <c r="E152" s="4" t="s">
        <v>267</v>
      </c>
      <c r="F152" s="5">
        <v>0.6</v>
      </c>
      <c r="G152" s="10">
        <v>1.0</v>
      </c>
      <c r="H152" s="7"/>
      <c r="I152" s="7"/>
      <c r="J152" s="7"/>
      <c r="K152" s="7"/>
      <c r="L152" s="7"/>
      <c r="M152" s="7"/>
      <c r="N152" s="7"/>
      <c r="O152" s="7"/>
      <c r="P152" s="7"/>
      <c r="Q152" s="7"/>
      <c r="U152" s="8">
        <f t="shared" si="1"/>
        <v>0.6</v>
      </c>
      <c r="V152" s="8">
        <f t="shared" si="2"/>
        <v>104</v>
      </c>
      <c r="W152" s="8" t="str">
        <f t="shared" si="3"/>
        <v/>
      </c>
      <c r="X152" s="8" t="str">
        <f t="shared" si="4"/>
        <v>#N/A</v>
      </c>
    </row>
    <row r="153">
      <c r="A153" s="4">
        <f t="shared" si="5"/>
        <v>152</v>
      </c>
      <c r="B153" s="4" t="s">
        <v>19</v>
      </c>
      <c r="C153" s="4" t="s">
        <v>19</v>
      </c>
      <c r="D153" s="4" t="s">
        <v>8</v>
      </c>
      <c r="E153" s="4" t="s">
        <v>268</v>
      </c>
      <c r="F153" s="5">
        <v>0.5</v>
      </c>
      <c r="G153" s="10">
        <v>1.0</v>
      </c>
      <c r="H153" s="7"/>
      <c r="I153" s="7"/>
      <c r="J153" s="7"/>
      <c r="K153" s="7"/>
      <c r="L153" s="7"/>
      <c r="M153" s="7"/>
      <c r="N153" s="7"/>
      <c r="O153" s="7"/>
      <c r="P153" s="7"/>
      <c r="Q153" s="7"/>
      <c r="U153" s="8">
        <f t="shared" si="1"/>
        <v>0.5</v>
      </c>
      <c r="V153" s="8">
        <f t="shared" si="2"/>
        <v>113</v>
      </c>
      <c r="W153" s="8" t="str">
        <f t="shared" si="3"/>
        <v/>
      </c>
      <c r="X153" s="8" t="str">
        <f t="shared" si="4"/>
        <v>#N/A</v>
      </c>
    </row>
    <row r="154">
      <c r="A154" s="4">
        <f t="shared" si="5"/>
        <v>153</v>
      </c>
      <c r="B154" s="4" t="s">
        <v>27</v>
      </c>
      <c r="C154" s="4" t="s">
        <v>27</v>
      </c>
      <c r="D154" s="4" t="s">
        <v>8</v>
      </c>
      <c r="E154" s="4" t="s">
        <v>269</v>
      </c>
      <c r="F154" s="5">
        <v>0.5</v>
      </c>
      <c r="G154" s="10">
        <v>1.0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U154" s="8">
        <f t="shared" si="1"/>
        <v>0.5</v>
      </c>
      <c r="V154" s="8">
        <f t="shared" si="2"/>
        <v>113</v>
      </c>
      <c r="W154" s="8" t="str">
        <f t="shared" si="3"/>
        <v/>
      </c>
      <c r="X154" s="8" t="str">
        <f t="shared" si="4"/>
        <v>#N/A</v>
      </c>
    </row>
    <row r="155">
      <c r="A155" s="4">
        <f t="shared" si="5"/>
        <v>154</v>
      </c>
      <c r="B155" s="4" t="s">
        <v>33</v>
      </c>
      <c r="C155" s="4" t="s">
        <v>33</v>
      </c>
      <c r="D155" s="4" t="s">
        <v>8</v>
      </c>
      <c r="E155" s="4" t="s">
        <v>270</v>
      </c>
      <c r="F155" s="5">
        <v>0.5</v>
      </c>
      <c r="G155" s="10">
        <v>2.0</v>
      </c>
      <c r="H155" s="7"/>
      <c r="I155" s="7"/>
      <c r="J155" s="7"/>
      <c r="K155" s="7"/>
      <c r="L155" s="7"/>
      <c r="M155" s="7"/>
      <c r="N155" s="7"/>
      <c r="O155" s="7"/>
      <c r="P155" s="7"/>
      <c r="Q155" s="7"/>
      <c r="U155" s="8">
        <f t="shared" si="1"/>
        <v>0.5</v>
      </c>
      <c r="V155" s="8">
        <f t="shared" si="2"/>
        <v>113</v>
      </c>
      <c r="W155" s="8" t="str">
        <f t="shared" si="3"/>
        <v/>
      </c>
      <c r="X155" s="8" t="str">
        <f t="shared" si="4"/>
        <v>#N/A</v>
      </c>
    </row>
    <row r="156">
      <c r="A156" s="4">
        <f t="shared" si="5"/>
        <v>155</v>
      </c>
      <c r="B156" s="4" t="s">
        <v>27</v>
      </c>
      <c r="C156" s="4" t="s">
        <v>27</v>
      </c>
      <c r="D156" s="4" t="s">
        <v>8</v>
      </c>
      <c r="E156" s="4" t="s">
        <v>271</v>
      </c>
      <c r="F156" s="5">
        <v>0.5</v>
      </c>
      <c r="G156" s="10">
        <v>1.0</v>
      </c>
      <c r="H156" s="7"/>
      <c r="I156" s="7"/>
      <c r="J156" s="7"/>
      <c r="K156" s="7"/>
      <c r="L156" s="7"/>
      <c r="M156" s="7"/>
      <c r="N156" s="7"/>
      <c r="O156" s="7"/>
      <c r="P156" s="7"/>
      <c r="Q156" s="7"/>
      <c r="U156" s="8">
        <f t="shared" si="1"/>
        <v>0.5</v>
      </c>
      <c r="V156" s="8">
        <f t="shared" si="2"/>
        <v>113</v>
      </c>
      <c r="W156" s="8" t="str">
        <f t="shared" si="3"/>
        <v/>
      </c>
      <c r="X156" s="8" t="str">
        <f t="shared" si="4"/>
        <v>#N/A</v>
      </c>
    </row>
    <row r="157">
      <c r="A157" s="4">
        <f t="shared" si="5"/>
        <v>156</v>
      </c>
      <c r="B157" s="4" t="s">
        <v>33</v>
      </c>
      <c r="C157" s="4" t="s">
        <v>33</v>
      </c>
      <c r="D157" s="4" t="s">
        <v>8</v>
      </c>
      <c r="E157" s="4" t="s">
        <v>272</v>
      </c>
      <c r="F157" s="5">
        <v>0.5</v>
      </c>
      <c r="G157" s="10">
        <v>1.0</v>
      </c>
      <c r="H157" s="7"/>
      <c r="I157" s="7"/>
      <c r="J157" s="7"/>
      <c r="K157" s="7"/>
      <c r="L157" s="7"/>
      <c r="M157" s="7"/>
      <c r="N157" s="7"/>
      <c r="O157" s="7"/>
      <c r="P157" s="7"/>
      <c r="Q157" s="7"/>
      <c r="U157" s="8">
        <f t="shared" si="1"/>
        <v>0.5</v>
      </c>
      <c r="V157" s="8">
        <f t="shared" si="2"/>
        <v>113</v>
      </c>
      <c r="W157" s="8" t="str">
        <f t="shared" si="3"/>
        <v/>
      </c>
      <c r="X157" s="8" t="str">
        <f t="shared" si="4"/>
        <v>#N/A</v>
      </c>
    </row>
    <row r="158">
      <c r="A158" s="4"/>
      <c r="B158" s="4"/>
      <c r="C158" s="4"/>
      <c r="D158" s="4"/>
      <c r="E158" s="4"/>
      <c r="F158" s="5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U158" s="8" t="str">
        <f t="shared" si="1"/>
        <v/>
      </c>
      <c r="W158" s="8" t="str">
        <f t="shared" si="3"/>
        <v/>
      </c>
    </row>
    <row r="159">
      <c r="A159" s="4"/>
      <c r="B159" s="4"/>
      <c r="C159" s="4"/>
      <c r="D159" s="4"/>
      <c r="E159" s="4"/>
      <c r="F159" s="5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U159" s="8" t="str">
        <f t="shared" si="1"/>
        <v/>
      </c>
      <c r="W159" s="8" t="str">
        <f t="shared" si="3"/>
        <v/>
      </c>
    </row>
    <row r="160">
      <c r="A160" s="4"/>
      <c r="B160" s="4"/>
      <c r="C160" s="4"/>
      <c r="D160" s="4"/>
      <c r="E160" s="4"/>
      <c r="F160" s="5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U160" s="8" t="str">
        <f t="shared" si="1"/>
        <v/>
      </c>
      <c r="W160" s="8" t="str">
        <f t="shared" si="3"/>
        <v/>
      </c>
    </row>
    <row r="161">
      <c r="A161" s="4"/>
      <c r="B161" s="4"/>
      <c r="C161" s="4"/>
      <c r="D161" s="4"/>
      <c r="E161" s="4"/>
      <c r="F161" s="5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U161" s="8" t="str">
        <f t="shared" si="1"/>
        <v/>
      </c>
      <c r="W161" s="8" t="str">
        <f t="shared" si="3"/>
        <v/>
      </c>
    </row>
    <row r="162">
      <c r="A162" s="4"/>
      <c r="B162" s="4"/>
      <c r="C162" s="4"/>
      <c r="D162" s="4"/>
      <c r="E162" s="4"/>
      <c r="F162" s="5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U162" s="8" t="str">
        <f t="shared" si="1"/>
        <v/>
      </c>
      <c r="W162" s="8" t="str">
        <f t="shared" si="3"/>
        <v/>
      </c>
    </row>
    <row r="163">
      <c r="A163" s="4"/>
      <c r="B163" s="4"/>
      <c r="C163" s="4"/>
      <c r="D163" s="4"/>
      <c r="E163" s="4"/>
      <c r="F163" s="5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U163" s="8" t="str">
        <f t="shared" si="1"/>
        <v/>
      </c>
      <c r="W163" s="8" t="str">
        <f t="shared" si="3"/>
        <v/>
      </c>
    </row>
    <row r="164">
      <c r="A164" s="4"/>
      <c r="B164" s="4"/>
      <c r="C164" s="4"/>
      <c r="D164" s="4"/>
      <c r="E164" s="4"/>
      <c r="F164" s="5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U164" s="8" t="str">
        <f t="shared" si="1"/>
        <v/>
      </c>
      <c r="W164" s="8" t="str">
        <f t="shared" si="3"/>
        <v/>
      </c>
    </row>
    <row r="165">
      <c r="A165" s="4"/>
      <c r="B165" s="4"/>
      <c r="C165" s="4"/>
      <c r="D165" s="4"/>
      <c r="E165" s="4"/>
      <c r="F165" s="5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U165" s="8" t="str">
        <f t="shared" si="1"/>
        <v/>
      </c>
      <c r="W165" s="8" t="str">
        <f t="shared" si="3"/>
        <v/>
      </c>
    </row>
    <row r="166">
      <c r="U166" s="8" t="str">
        <f t="shared" si="1"/>
        <v/>
      </c>
      <c r="W166" s="8" t="str">
        <f t="shared" si="3"/>
        <v/>
      </c>
    </row>
    <row r="167">
      <c r="U167" s="8" t="str">
        <f t="shared" si="1"/>
        <v/>
      </c>
      <c r="W167" s="8" t="str">
        <f t="shared" si="3"/>
        <v/>
      </c>
    </row>
    <row r="168">
      <c r="U168" s="8" t="str">
        <f t="shared" si="1"/>
        <v/>
      </c>
      <c r="W168" s="8" t="str">
        <f t="shared" si="3"/>
        <v/>
      </c>
    </row>
    <row r="169">
      <c r="U169" s="8" t="str">
        <f t="shared" si="1"/>
        <v/>
      </c>
      <c r="W169" s="8" t="str">
        <f t="shared" si="3"/>
        <v/>
      </c>
    </row>
    <row r="170">
      <c r="U170" s="8" t="str">
        <f t="shared" si="1"/>
        <v/>
      </c>
      <c r="W170" s="8" t="str">
        <f t="shared" si="3"/>
        <v/>
      </c>
    </row>
    <row r="171">
      <c r="U171" s="8" t="str">
        <f t="shared" si="1"/>
        <v/>
      </c>
      <c r="W171" s="8" t="str">
        <f t="shared" si="3"/>
        <v/>
      </c>
    </row>
    <row r="172">
      <c r="U172" s="8" t="str">
        <f t="shared" si="1"/>
        <v/>
      </c>
      <c r="W172" s="8" t="str">
        <f t="shared" si="3"/>
        <v/>
      </c>
    </row>
    <row r="173">
      <c r="U173" s="8" t="str">
        <f t="shared" si="1"/>
        <v/>
      </c>
      <c r="W173" s="8" t="str">
        <f t="shared" si="3"/>
        <v/>
      </c>
    </row>
  </sheetData>
  <autoFilter ref="$A$1:$AA$1000"/>
  <mergeCells count="3">
    <mergeCell ref="H21:J21"/>
    <mergeCell ref="H46:I46"/>
    <mergeCell ref="H50:K50"/>
  </mergeCells>
  <dataValidations>
    <dataValidation type="list" allowBlank="1" showErrorMessage="1" sqref="D2:D157">
      <formula1>"RFA,UFA"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U1" s="3" t="s">
        <v>8</v>
      </c>
      <c r="V1" s="3" t="s">
        <v>9</v>
      </c>
      <c r="W1" s="3" t="s">
        <v>10</v>
      </c>
      <c r="X1" s="3" t="s">
        <v>11</v>
      </c>
    </row>
    <row r="2">
      <c r="A2" s="4">
        <v>1.0</v>
      </c>
      <c r="B2" s="4" t="s">
        <v>273</v>
      </c>
      <c r="C2" s="4" t="s">
        <v>274</v>
      </c>
      <c r="D2" s="4" t="s">
        <v>10</v>
      </c>
      <c r="E2" s="4" t="s">
        <v>275</v>
      </c>
      <c r="F2" s="5">
        <v>6.0</v>
      </c>
      <c r="G2" s="5">
        <v>4.0</v>
      </c>
      <c r="H2" s="6" t="s">
        <v>276</v>
      </c>
      <c r="I2" s="6" t="s">
        <v>277</v>
      </c>
      <c r="J2" s="6" t="s">
        <v>278</v>
      </c>
      <c r="K2" s="6" t="s">
        <v>279</v>
      </c>
      <c r="L2" s="7"/>
      <c r="M2" s="7"/>
      <c r="N2" s="7"/>
      <c r="O2" s="7"/>
      <c r="P2" s="7"/>
      <c r="Q2" s="7"/>
      <c r="U2" s="8" t="str">
        <f t="shared" ref="U2:U165" si="1">if($D2=U$1,$F2,"")</f>
        <v/>
      </c>
      <c r="V2" s="8" t="str">
        <f t="shared" ref="V2:V165" si="2">rank(U2,$U$2:$U$173)</f>
        <v>#N/A</v>
      </c>
      <c r="W2" s="8">
        <f t="shared" ref="W2:W165" si="3">if($D2=W$1,$F2,"")</f>
        <v>6</v>
      </c>
      <c r="X2" s="8">
        <f t="shared" ref="X2:X165" si="4">rank(W2,$W$2:$W$173)</f>
        <v>5</v>
      </c>
    </row>
    <row r="3">
      <c r="A3" s="4">
        <f t="shared" ref="A3:A165" si="5">A2+1</f>
        <v>2</v>
      </c>
      <c r="B3" s="4" t="s">
        <v>273</v>
      </c>
      <c r="C3" s="4" t="s">
        <v>273</v>
      </c>
      <c r="D3" s="4" t="s">
        <v>8</v>
      </c>
      <c r="E3" s="4" t="s">
        <v>30</v>
      </c>
      <c r="F3" s="5">
        <v>7.3</v>
      </c>
      <c r="G3" s="5">
        <v>1.0</v>
      </c>
      <c r="H3" s="7"/>
      <c r="I3" s="7"/>
      <c r="J3" s="7"/>
      <c r="K3" s="7"/>
      <c r="L3" s="7"/>
      <c r="M3" s="7"/>
      <c r="N3" s="7"/>
      <c r="O3" s="7"/>
      <c r="P3" s="7"/>
      <c r="Q3" s="7"/>
      <c r="U3" s="8">
        <f t="shared" si="1"/>
        <v>7.3</v>
      </c>
      <c r="V3" s="8">
        <f t="shared" si="2"/>
        <v>2</v>
      </c>
      <c r="W3" s="8" t="str">
        <f t="shared" si="3"/>
        <v/>
      </c>
      <c r="X3" s="8" t="str">
        <f t="shared" si="4"/>
        <v>#N/A</v>
      </c>
    </row>
    <row r="4">
      <c r="A4" s="4">
        <f t="shared" si="5"/>
        <v>3</v>
      </c>
      <c r="B4" s="4" t="s">
        <v>280</v>
      </c>
      <c r="C4" s="4" t="s">
        <v>281</v>
      </c>
      <c r="D4" s="4" t="s">
        <v>10</v>
      </c>
      <c r="E4" s="4" t="s">
        <v>282</v>
      </c>
      <c r="F4" s="5">
        <v>11.4</v>
      </c>
      <c r="G4" s="5">
        <v>6.0</v>
      </c>
      <c r="H4" s="4" t="s">
        <v>283</v>
      </c>
      <c r="M4" s="7"/>
      <c r="N4" s="7"/>
      <c r="O4" s="7"/>
      <c r="P4" s="7"/>
      <c r="Q4" s="7"/>
      <c r="U4" s="8" t="str">
        <f t="shared" si="1"/>
        <v/>
      </c>
      <c r="V4" s="8" t="str">
        <f t="shared" si="2"/>
        <v>#N/A</v>
      </c>
      <c r="W4" s="8">
        <f t="shared" si="3"/>
        <v>11.4</v>
      </c>
      <c r="X4" s="8">
        <f t="shared" si="4"/>
        <v>1</v>
      </c>
    </row>
    <row r="5">
      <c r="A5" s="4">
        <f t="shared" si="5"/>
        <v>4</v>
      </c>
      <c r="B5" s="4" t="s">
        <v>280</v>
      </c>
      <c r="C5" s="4" t="s">
        <v>284</v>
      </c>
      <c r="D5" s="4" t="s">
        <v>8</v>
      </c>
      <c r="E5" s="4" t="s">
        <v>32</v>
      </c>
      <c r="F5" s="5">
        <v>4.5</v>
      </c>
      <c r="G5" s="5">
        <v>2.0</v>
      </c>
      <c r="H5" s="7"/>
      <c r="I5" s="7"/>
      <c r="J5" s="7"/>
      <c r="K5" s="7"/>
      <c r="L5" s="7"/>
      <c r="M5" s="7"/>
      <c r="N5" s="7"/>
      <c r="O5" s="7"/>
      <c r="P5" s="7"/>
      <c r="Q5" s="7"/>
      <c r="U5" s="8">
        <f t="shared" si="1"/>
        <v>4.5</v>
      </c>
      <c r="V5" s="8">
        <f t="shared" si="2"/>
        <v>11</v>
      </c>
      <c r="W5" s="8" t="str">
        <f t="shared" si="3"/>
        <v/>
      </c>
      <c r="X5" s="8" t="str">
        <f t="shared" si="4"/>
        <v>#N/A</v>
      </c>
    </row>
    <row r="6">
      <c r="A6" s="4">
        <f t="shared" si="5"/>
        <v>5</v>
      </c>
      <c r="B6" s="4" t="s">
        <v>285</v>
      </c>
      <c r="C6" s="4" t="s">
        <v>286</v>
      </c>
      <c r="D6" s="4" t="s">
        <v>10</v>
      </c>
      <c r="E6" s="4" t="s">
        <v>220</v>
      </c>
      <c r="F6" s="5">
        <v>3.2</v>
      </c>
      <c r="G6" s="5">
        <v>1.0</v>
      </c>
      <c r="H6" s="7"/>
      <c r="I6" s="7"/>
      <c r="J6" s="7"/>
      <c r="K6" s="9"/>
      <c r="L6" s="7"/>
      <c r="M6" s="7"/>
      <c r="N6" s="7"/>
      <c r="O6" s="7"/>
      <c r="P6" s="7"/>
      <c r="Q6" s="7"/>
      <c r="U6" s="8" t="str">
        <f t="shared" si="1"/>
        <v/>
      </c>
      <c r="V6" s="8" t="str">
        <f t="shared" si="2"/>
        <v>#N/A</v>
      </c>
      <c r="W6" s="8">
        <f t="shared" si="3"/>
        <v>3.2</v>
      </c>
      <c r="X6" s="8">
        <f t="shared" si="4"/>
        <v>12</v>
      </c>
    </row>
    <row r="7">
      <c r="A7" s="4">
        <f t="shared" si="5"/>
        <v>6</v>
      </c>
      <c r="B7" s="4" t="s">
        <v>285</v>
      </c>
      <c r="C7" s="4" t="s">
        <v>287</v>
      </c>
      <c r="D7" s="4" t="s">
        <v>8</v>
      </c>
      <c r="E7" s="4" t="s">
        <v>24</v>
      </c>
      <c r="F7" s="5">
        <v>8.5</v>
      </c>
      <c r="G7" s="5">
        <v>2.0</v>
      </c>
      <c r="H7" s="7"/>
      <c r="I7" s="7"/>
      <c r="J7" s="7"/>
      <c r="K7" s="7"/>
      <c r="L7" s="7"/>
      <c r="M7" s="7"/>
      <c r="N7" s="7"/>
      <c r="O7" s="7"/>
      <c r="P7" s="7"/>
      <c r="Q7" s="7"/>
      <c r="U7" s="8">
        <f t="shared" si="1"/>
        <v>8.5</v>
      </c>
      <c r="V7" s="8">
        <f t="shared" si="2"/>
        <v>1</v>
      </c>
      <c r="W7" s="8" t="str">
        <f t="shared" si="3"/>
        <v/>
      </c>
      <c r="X7" s="8" t="str">
        <f t="shared" si="4"/>
        <v>#N/A</v>
      </c>
    </row>
    <row r="8">
      <c r="A8" s="4">
        <f t="shared" si="5"/>
        <v>7</v>
      </c>
      <c r="B8" s="4" t="s">
        <v>288</v>
      </c>
      <c r="C8" s="4" t="s">
        <v>280</v>
      </c>
      <c r="D8" s="4" t="s">
        <v>10</v>
      </c>
      <c r="E8" s="4" t="s">
        <v>289</v>
      </c>
      <c r="F8" s="5">
        <v>8.5</v>
      </c>
      <c r="G8" s="5">
        <v>5.0</v>
      </c>
      <c r="H8" s="7"/>
      <c r="I8" s="7"/>
      <c r="J8" s="7"/>
      <c r="K8" s="7"/>
      <c r="L8" s="7"/>
      <c r="M8" s="7"/>
      <c r="N8" s="7"/>
      <c r="O8" s="7"/>
      <c r="P8" s="7"/>
      <c r="Q8" s="7"/>
      <c r="U8" s="8" t="str">
        <f t="shared" si="1"/>
        <v/>
      </c>
      <c r="V8" s="8" t="str">
        <f t="shared" si="2"/>
        <v>#N/A</v>
      </c>
      <c r="W8" s="8">
        <f t="shared" si="3"/>
        <v>8.5</v>
      </c>
      <c r="X8" s="8">
        <f t="shared" si="4"/>
        <v>2</v>
      </c>
    </row>
    <row r="9">
      <c r="A9" s="4">
        <f t="shared" si="5"/>
        <v>8</v>
      </c>
      <c r="B9" s="4" t="s">
        <v>288</v>
      </c>
      <c r="C9" s="4" t="s">
        <v>288</v>
      </c>
      <c r="D9" s="4" t="s">
        <v>8</v>
      </c>
      <c r="E9" s="4" t="s">
        <v>290</v>
      </c>
      <c r="F9" s="5">
        <v>5.5</v>
      </c>
      <c r="G9" s="5">
        <v>1.0</v>
      </c>
      <c r="H9" s="7"/>
      <c r="I9" s="7"/>
      <c r="J9" s="7"/>
      <c r="K9" s="7"/>
      <c r="L9" s="7"/>
      <c r="M9" s="7"/>
      <c r="N9" s="7"/>
      <c r="O9" s="7"/>
      <c r="P9" s="7"/>
      <c r="Q9" s="7"/>
      <c r="U9" s="8">
        <f t="shared" si="1"/>
        <v>5.5</v>
      </c>
      <c r="V9" s="8">
        <f t="shared" si="2"/>
        <v>9</v>
      </c>
      <c r="W9" s="8" t="str">
        <f t="shared" si="3"/>
        <v/>
      </c>
      <c r="X9" s="8" t="str">
        <f t="shared" si="4"/>
        <v>#N/A</v>
      </c>
    </row>
    <row r="10">
      <c r="A10" s="4">
        <f t="shared" si="5"/>
        <v>9</v>
      </c>
      <c r="B10" s="4" t="s">
        <v>284</v>
      </c>
      <c r="C10" s="4" t="s">
        <v>285</v>
      </c>
      <c r="D10" s="4" t="s">
        <v>10</v>
      </c>
      <c r="E10" s="4" t="s">
        <v>291</v>
      </c>
      <c r="F10" s="5">
        <v>3.2</v>
      </c>
      <c r="G10" s="5">
        <v>2.0</v>
      </c>
      <c r="H10" s="7"/>
      <c r="I10" s="7"/>
      <c r="J10" s="7"/>
      <c r="K10" s="7"/>
      <c r="L10" s="7"/>
      <c r="M10" s="7"/>
      <c r="N10" s="7"/>
      <c r="O10" s="7"/>
      <c r="P10" s="7"/>
      <c r="Q10" s="7"/>
      <c r="U10" s="8" t="str">
        <f t="shared" si="1"/>
        <v/>
      </c>
      <c r="V10" s="8" t="str">
        <f t="shared" si="2"/>
        <v>#N/A</v>
      </c>
      <c r="W10" s="8">
        <f t="shared" si="3"/>
        <v>3.2</v>
      </c>
      <c r="X10" s="8">
        <f t="shared" si="4"/>
        <v>12</v>
      </c>
    </row>
    <row r="11">
      <c r="A11" s="4">
        <f t="shared" si="5"/>
        <v>10</v>
      </c>
      <c r="B11" s="4" t="s">
        <v>284</v>
      </c>
      <c r="C11" s="4" t="s">
        <v>280</v>
      </c>
      <c r="D11" s="4" t="s">
        <v>8</v>
      </c>
      <c r="E11" s="4" t="s">
        <v>50</v>
      </c>
      <c r="F11" s="5">
        <v>6.2</v>
      </c>
      <c r="G11" s="5">
        <v>1.0</v>
      </c>
      <c r="H11" s="7"/>
      <c r="I11" s="7"/>
      <c r="J11" s="7"/>
      <c r="K11" s="7"/>
      <c r="L11" s="7"/>
      <c r="M11" s="7"/>
      <c r="N11" s="7"/>
      <c r="O11" s="7"/>
      <c r="P11" s="7"/>
      <c r="Q11" s="7"/>
      <c r="U11" s="8">
        <f t="shared" si="1"/>
        <v>6.2</v>
      </c>
      <c r="V11" s="8">
        <f t="shared" si="2"/>
        <v>7</v>
      </c>
      <c r="W11" s="8" t="str">
        <f t="shared" si="3"/>
        <v/>
      </c>
      <c r="X11" s="8" t="str">
        <f t="shared" si="4"/>
        <v>#N/A</v>
      </c>
    </row>
    <row r="12">
      <c r="A12" s="4">
        <f t="shared" si="5"/>
        <v>11</v>
      </c>
      <c r="B12" s="4" t="s">
        <v>287</v>
      </c>
      <c r="C12" s="4" t="s">
        <v>287</v>
      </c>
      <c r="D12" s="4" t="s">
        <v>10</v>
      </c>
      <c r="E12" s="4" t="s">
        <v>292</v>
      </c>
      <c r="F12" s="5">
        <v>3.0</v>
      </c>
      <c r="G12" s="5">
        <v>3.0</v>
      </c>
      <c r="H12" s="7"/>
      <c r="I12" s="7"/>
      <c r="J12" s="7"/>
      <c r="K12" s="7"/>
      <c r="L12" s="7"/>
      <c r="M12" s="7"/>
      <c r="N12" s="7"/>
      <c r="O12" s="7"/>
      <c r="P12" s="7"/>
      <c r="Q12" s="7"/>
      <c r="U12" s="8" t="str">
        <f t="shared" si="1"/>
        <v/>
      </c>
      <c r="V12" s="8" t="str">
        <f t="shared" si="2"/>
        <v>#N/A</v>
      </c>
      <c r="W12" s="8">
        <f t="shared" si="3"/>
        <v>3</v>
      </c>
      <c r="X12" s="8">
        <f t="shared" si="4"/>
        <v>16</v>
      </c>
    </row>
    <row r="13">
      <c r="A13" s="4">
        <f t="shared" si="5"/>
        <v>12</v>
      </c>
      <c r="B13" s="4" t="s">
        <v>287</v>
      </c>
      <c r="C13" s="4" t="s">
        <v>293</v>
      </c>
      <c r="D13" s="4" t="s">
        <v>8</v>
      </c>
      <c r="E13" s="4" t="s">
        <v>113</v>
      </c>
      <c r="F13" s="5">
        <v>6.4</v>
      </c>
      <c r="G13" s="5">
        <v>1.0</v>
      </c>
      <c r="H13" s="7"/>
      <c r="I13" s="7"/>
      <c r="J13" s="7"/>
      <c r="K13" s="7"/>
      <c r="L13" s="7"/>
      <c r="M13" s="7"/>
      <c r="N13" s="7"/>
      <c r="O13" s="7"/>
      <c r="P13" s="7"/>
      <c r="Q13" s="7"/>
      <c r="U13" s="8">
        <f t="shared" si="1"/>
        <v>6.4</v>
      </c>
      <c r="V13" s="8">
        <f t="shared" si="2"/>
        <v>6</v>
      </c>
      <c r="W13" s="8" t="str">
        <f t="shared" si="3"/>
        <v/>
      </c>
      <c r="X13" s="8" t="str">
        <f t="shared" si="4"/>
        <v>#N/A</v>
      </c>
    </row>
    <row r="14">
      <c r="A14" s="4">
        <f t="shared" si="5"/>
        <v>13</v>
      </c>
      <c r="B14" s="4" t="s">
        <v>294</v>
      </c>
      <c r="C14" s="4" t="s">
        <v>294</v>
      </c>
      <c r="D14" s="4" t="s">
        <v>10</v>
      </c>
      <c r="E14" s="4" t="s">
        <v>295</v>
      </c>
      <c r="F14" s="5">
        <v>6.8</v>
      </c>
      <c r="G14" s="5">
        <v>3.0</v>
      </c>
      <c r="H14" s="7"/>
      <c r="I14" s="7"/>
      <c r="J14" s="7"/>
      <c r="K14" s="7"/>
      <c r="L14" s="7"/>
      <c r="M14" s="7"/>
      <c r="N14" s="7"/>
      <c r="O14" s="7"/>
      <c r="P14" s="7"/>
      <c r="Q14" s="7"/>
      <c r="U14" s="8" t="str">
        <f t="shared" si="1"/>
        <v/>
      </c>
      <c r="V14" s="8" t="str">
        <f t="shared" si="2"/>
        <v>#N/A</v>
      </c>
      <c r="W14" s="8">
        <f t="shared" si="3"/>
        <v>6.8</v>
      </c>
      <c r="X14" s="8">
        <f t="shared" si="4"/>
        <v>3</v>
      </c>
    </row>
    <row r="15">
      <c r="A15" s="4">
        <f t="shared" si="5"/>
        <v>14</v>
      </c>
      <c r="B15" s="4" t="s">
        <v>294</v>
      </c>
      <c r="C15" s="4" t="s">
        <v>285</v>
      </c>
      <c r="D15" s="4" t="s">
        <v>8</v>
      </c>
      <c r="E15" s="4" t="s">
        <v>296</v>
      </c>
      <c r="F15" s="5">
        <v>4.5</v>
      </c>
      <c r="G15" s="5">
        <v>1.0</v>
      </c>
      <c r="H15" s="7"/>
      <c r="I15" s="7"/>
      <c r="J15" s="7"/>
      <c r="K15" s="7"/>
      <c r="L15" s="7"/>
      <c r="M15" s="7"/>
      <c r="N15" s="7"/>
      <c r="O15" s="7"/>
      <c r="P15" s="7"/>
      <c r="Q15" s="7"/>
      <c r="U15" s="8">
        <f t="shared" si="1"/>
        <v>4.5</v>
      </c>
      <c r="V15" s="8">
        <f t="shared" si="2"/>
        <v>11</v>
      </c>
      <c r="W15" s="8" t="str">
        <f t="shared" si="3"/>
        <v/>
      </c>
      <c r="X15" s="8" t="str">
        <f t="shared" si="4"/>
        <v>#N/A</v>
      </c>
    </row>
    <row r="16">
      <c r="A16" s="4">
        <f t="shared" si="5"/>
        <v>15</v>
      </c>
      <c r="B16" s="4" t="s">
        <v>281</v>
      </c>
      <c r="C16" s="4" t="s">
        <v>288</v>
      </c>
      <c r="D16" s="4" t="s">
        <v>10</v>
      </c>
      <c r="E16" s="4" t="s">
        <v>297</v>
      </c>
      <c r="F16" s="5">
        <v>6.7</v>
      </c>
      <c r="G16" s="5">
        <v>4.0</v>
      </c>
      <c r="H16" s="7"/>
      <c r="I16" s="7"/>
      <c r="J16" s="7"/>
      <c r="K16" s="7"/>
      <c r="L16" s="7"/>
      <c r="M16" s="7"/>
      <c r="N16" s="7"/>
      <c r="O16" s="7"/>
      <c r="P16" s="7"/>
      <c r="Q16" s="7"/>
      <c r="U16" s="8" t="str">
        <f t="shared" si="1"/>
        <v/>
      </c>
      <c r="V16" s="8" t="str">
        <f t="shared" si="2"/>
        <v>#N/A</v>
      </c>
      <c r="W16" s="8">
        <f t="shared" si="3"/>
        <v>6.7</v>
      </c>
      <c r="X16" s="8">
        <f t="shared" si="4"/>
        <v>4</v>
      </c>
    </row>
    <row r="17">
      <c r="A17" s="4">
        <f t="shared" si="5"/>
        <v>16</v>
      </c>
      <c r="B17" s="4" t="s">
        <v>281</v>
      </c>
      <c r="C17" s="4" t="s">
        <v>293</v>
      </c>
      <c r="D17" s="4" t="s">
        <v>8</v>
      </c>
      <c r="E17" s="4" t="s">
        <v>81</v>
      </c>
      <c r="F17" s="5">
        <v>4.2</v>
      </c>
      <c r="G17" s="5">
        <v>1.0</v>
      </c>
      <c r="H17" s="7"/>
      <c r="I17" s="7"/>
      <c r="J17" s="7"/>
      <c r="K17" s="7"/>
      <c r="L17" s="7"/>
      <c r="M17" s="7"/>
      <c r="N17" s="7"/>
      <c r="O17" s="7"/>
      <c r="P17" s="7"/>
      <c r="Q17" s="7"/>
      <c r="U17" s="8">
        <f t="shared" si="1"/>
        <v>4.2</v>
      </c>
      <c r="V17" s="8">
        <f t="shared" si="2"/>
        <v>16</v>
      </c>
      <c r="W17" s="8" t="str">
        <f t="shared" si="3"/>
        <v/>
      </c>
      <c r="X17" s="8" t="str">
        <f t="shared" si="4"/>
        <v>#N/A</v>
      </c>
    </row>
    <row r="18">
      <c r="A18" s="4">
        <f t="shared" si="5"/>
        <v>17</v>
      </c>
      <c r="B18" s="4" t="s">
        <v>286</v>
      </c>
      <c r="C18" s="4" t="s">
        <v>287</v>
      </c>
      <c r="D18" s="4" t="s">
        <v>8</v>
      </c>
      <c r="E18" s="4" t="s">
        <v>114</v>
      </c>
      <c r="F18" s="5">
        <v>3.4</v>
      </c>
      <c r="G18" s="5">
        <v>2.0</v>
      </c>
      <c r="H18" s="7"/>
      <c r="I18" s="7"/>
      <c r="J18" s="7"/>
      <c r="K18" s="7"/>
      <c r="L18" s="7"/>
      <c r="M18" s="7"/>
      <c r="N18" s="7"/>
      <c r="O18" s="7"/>
      <c r="P18" s="7"/>
      <c r="Q18" s="7"/>
      <c r="U18" s="8">
        <f t="shared" si="1"/>
        <v>3.4</v>
      </c>
      <c r="V18" s="8">
        <f t="shared" si="2"/>
        <v>23</v>
      </c>
      <c r="W18" s="8" t="str">
        <f t="shared" si="3"/>
        <v/>
      </c>
      <c r="X18" s="8" t="str">
        <f t="shared" si="4"/>
        <v>#N/A</v>
      </c>
    </row>
    <row r="19">
      <c r="A19" s="4">
        <f t="shared" si="5"/>
        <v>18</v>
      </c>
      <c r="B19" s="4" t="s">
        <v>293</v>
      </c>
      <c r="C19" s="4" t="s">
        <v>288</v>
      </c>
      <c r="D19" s="4" t="s">
        <v>8</v>
      </c>
      <c r="E19" s="4" t="s">
        <v>298</v>
      </c>
      <c r="F19" s="5">
        <v>3.7</v>
      </c>
      <c r="G19" s="5">
        <v>1.0</v>
      </c>
      <c r="H19" s="7"/>
      <c r="I19" s="7"/>
      <c r="J19" s="7"/>
      <c r="K19" s="7"/>
      <c r="L19" s="7"/>
      <c r="M19" s="7"/>
      <c r="N19" s="7"/>
      <c r="O19" s="7"/>
      <c r="P19" s="7"/>
      <c r="Q19" s="7"/>
      <c r="U19" s="8">
        <f t="shared" si="1"/>
        <v>3.7</v>
      </c>
      <c r="V19" s="8">
        <f t="shared" si="2"/>
        <v>20</v>
      </c>
      <c r="W19" s="8" t="str">
        <f t="shared" si="3"/>
        <v/>
      </c>
      <c r="X19" s="8" t="str">
        <f t="shared" si="4"/>
        <v>#N/A</v>
      </c>
    </row>
    <row r="20">
      <c r="A20" s="4">
        <f t="shared" si="5"/>
        <v>19</v>
      </c>
      <c r="B20" s="4" t="s">
        <v>274</v>
      </c>
      <c r="C20" s="4" t="s">
        <v>274</v>
      </c>
      <c r="D20" s="4" t="s">
        <v>8</v>
      </c>
      <c r="E20" s="4" t="s">
        <v>224</v>
      </c>
      <c r="F20" s="5">
        <v>6.5</v>
      </c>
      <c r="G20" s="5">
        <v>1.0</v>
      </c>
      <c r="H20" s="7"/>
      <c r="I20" s="7"/>
      <c r="J20" s="7"/>
      <c r="K20" s="7"/>
      <c r="L20" s="7"/>
      <c r="M20" s="7"/>
      <c r="N20" s="7"/>
      <c r="O20" s="7"/>
      <c r="P20" s="7"/>
      <c r="Q20" s="7"/>
      <c r="U20" s="8">
        <f t="shared" si="1"/>
        <v>6.5</v>
      </c>
      <c r="V20" s="8">
        <f t="shared" si="2"/>
        <v>4</v>
      </c>
      <c r="W20" s="8" t="str">
        <f t="shared" si="3"/>
        <v/>
      </c>
      <c r="X20" s="8" t="str">
        <f t="shared" si="4"/>
        <v>#N/A</v>
      </c>
    </row>
    <row r="21">
      <c r="A21" s="4">
        <f t="shared" si="5"/>
        <v>20</v>
      </c>
      <c r="B21" s="4" t="s">
        <v>273</v>
      </c>
      <c r="C21" s="4" t="s">
        <v>285</v>
      </c>
      <c r="D21" s="4" t="s">
        <v>10</v>
      </c>
      <c r="E21" s="4" t="s">
        <v>90</v>
      </c>
      <c r="F21" s="5">
        <v>4.8</v>
      </c>
      <c r="G21" s="5">
        <v>2.0</v>
      </c>
      <c r="H21" s="6" t="s">
        <v>299</v>
      </c>
      <c r="K21" s="7"/>
      <c r="L21" s="7"/>
      <c r="M21" s="7"/>
      <c r="N21" s="7"/>
      <c r="O21" s="7"/>
      <c r="P21" s="7"/>
      <c r="Q21" s="7"/>
      <c r="U21" s="8" t="str">
        <f t="shared" si="1"/>
        <v/>
      </c>
      <c r="V21" s="8" t="str">
        <f t="shared" si="2"/>
        <v>#N/A</v>
      </c>
      <c r="W21" s="8">
        <f t="shared" si="3"/>
        <v>4.8</v>
      </c>
      <c r="X21" s="8">
        <f t="shared" si="4"/>
        <v>9</v>
      </c>
    </row>
    <row r="22">
      <c r="A22" s="4">
        <f t="shared" si="5"/>
        <v>21</v>
      </c>
      <c r="B22" s="4" t="s">
        <v>273</v>
      </c>
      <c r="C22" s="4" t="s">
        <v>288</v>
      </c>
      <c r="D22" s="4" t="s">
        <v>8</v>
      </c>
      <c r="E22" s="4" t="s">
        <v>92</v>
      </c>
      <c r="F22" s="5">
        <v>4.2</v>
      </c>
      <c r="G22" s="5">
        <v>2.0</v>
      </c>
      <c r="H22" s="7"/>
      <c r="I22" s="7"/>
      <c r="J22" s="7"/>
      <c r="K22" s="7"/>
      <c r="L22" s="7"/>
      <c r="M22" s="7"/>
      <c r="N22" s="7"/>
      <c r="O22" s="7"/>
      <c r="P22" s="7"/>
      <c r="Q22" s="7"/>
      <c r="U22" s="8">
        <f t="shared" si="1"/>
        <v>4.2</v>
      </c>
      <c r="V22" s="8">
        <f t="shared" si="2"/>
        <v>16</v>
      </c>
      <c r="W22" s="8" t="str">
        <f t="shared" si="3"/>
        <v/>
      </c>
      <c r="X22" s="8" t="str">
        <f t="shared" si="4"/>
        <v>#N/A</v>
      </c>
    </row>
    <row r="23">
      <c r="A23" s="4">
        <f t="shared" si="5"/>
        <v>22</v>
      </c>
      <c r="B23" s="4" t="s">
        <v>280</v>
      </c>
      <c r="C23" s="4" t="s">
        <v>280</v>
      </c>
      <c r="D23" s="4" t="s">
        <v>10</v>
      </c>
      <c r="E23" s="4" t="s">
        <v>300</v>
      </c>
      <c r="F23" s="5">
        <v>3.2</v>
      </c>
      <c r="G23" s="5">
        <v>3.0</v>
      </c>
      <c r="H23" s="7"/>
      <c r="I23" s="7"/>
      <c r="J23" s="7"/>
      <c r="K23" s="7"/>
      <c r="L23" s="7"/>
      <c r="M23" s="7"/>
      <c r="N23" s="7"/>
      <c r="O23" s="7"/>
      <c r="P23" s="7"/>
      <c r="Q23" s="7"/>
      <c r="U23" s="8" t="str">
        <f t="shared" si="1"/>
        <v/>
      </c>
      <c r="V23" s="8" t="str">
        <f t="shared" si="2"/>
        <v>#N/A</v>
      </c>
      <c r="W23" s="8">
        <f t="shared" si="3"/>
        <v>3.2</v>
      </c>
      <c r="X23" s="8">
        <f t="shared" si="4"/>
        <v>12</v>
      </c>
    </row>
    <row r="24">
      <c r="A24" s="4">
        <f t="shared" si="5"/>
        <v>23</v>
      </c>
      <c r="B24" s="4" t="s">
        <v>280</v>
      </c>
      <c r="C24" s="4" t="s">
        <v>287</v>
      </c>
      <c r="D24" s="4" t="s">
        <v>8</v>
      </c>
      <c r="E24" s="4" t="s">
        <v>104</v>
      </c>
      <c r="F24" s="5">
        <v>1.8</v>
      </c>
      <c r="G24" s="5">
        <v>1.0</v>
      </c>
      <c r="H24" s="7"/>
      <c r="I24" s="7"/>
      <c r="J24" s="7"/>
      <c r="K24" s="7"/>
      <c r="L24" s="7"/>
      <c r="M24" s="7"/>
      <c r="N24" s="7"/>
      <c r="O24" s="7"/>
      <c r="P24" s="7"/>
      <c r="Q24" s="7"/>
      <c r="U24" s="8">
        <f t="shared" si="1"/>
        <v>1.8</v>
      </c>
      <c r="V24" s="8">
        <f t="shared" si="2"/>
        <v>51</v>
      </c>
      <c r="W24" s="8" t="str">
        <f t="shared" si="3"/>
        <v/>
      </c>
      <c r="X24" s="8" t="str">
        <f t="shared" si="4"/>
        <v>#N/A</v>
      </c>
    </row>
    <row r="25">
      <c r="A25" s="4">
        <f t="shared" si="5"/>
        <v>24</v>
      </c>
      <c r="B25" s="4" t="s">
        <v>285</v>
      </c>
      <c r="C25" s="4" t="s">
        <v>294</v>
      </c>
      <c r="D25" s="4" t="s">
        <v>10</v>
      </c>
      <c r="E25" s="4" t="s">
        <v>301</v>
      </c>
      <c r="F25" s="5">
        <v>5.2</v>
      </c>
      <c r="G25" s="5">
        <v>3.0</v>
      </c>
      <c r="H25" s="6" t="s">
        <v>302</v>
      </c>
      <c r="L25" s="7"/>
      <c r="M25" s="7"/>
      <c r="N25" s="7"/>
      <c r="O25" s="7"/>
      <c r="P25" s="7"/>
      <c r="Q25" s="7"/>
      <c r="U25" s="8" t="str">
        <f t="shared" si="1"/>
        <v/>
      </c>
      <c r="V25" s="8" t="str">
        <f t="shared" si="2"/>
        <v>#N/A</v>
      </c>
      <c r="W25" s="8">
        <f t="shared" si="3"/>
        <v>5.2</v>
      </c>
      <c r="X25" s="8">
        <f t="shared" si="4"/>
        <v>8</v>
      </c>
    </row>
    <row r="26">
      <c r="A26" s="4">
        <f t="shared" si="5"/>
        <v>25</v>
      </c>
      <c r="B26" s="4" t="s">
        <v>285</v>
      </c>
      <c r="C26" s="4" t="s">
        <v>285</v>
      </c>
      <c r="D26" s="4" t="s">
        <v>8</v>
      </c>
      <c r="E26" s="4" t="s">
        <v>123</v>
      </c>
      <c r="F26" s="5">
        <v>1.9</v>
      </c>
      <c r="G26" s="5">
        <v>1.0</v>
      </c>
      <c r="H26" s="7"/>
      <c r="I26" s="7"/>
      <c r="J26" s="7"/>
      <c r="K26" s="7"/>
      <c r="L26" s="7"/>
      <c r="M26" s="7"/>
      <c r="N26" s="7"/>
      <c r="O26" s="7"/>
      <c r="P26" s="7"/>
      <c r="Q26" s="7"/>
      <c r="U26" s="8">
        <f t="shared" si="1"/>
        <v>1.9</v>
      </c>
      <c r="V26" s="8">
        <f t="shared" si="2"/>
        <v>47</v>
      </c>
      <c r="W26" s="8" t="str">
        <f t="shared" si="3"/>
        <v/>
      </c>
      <c r="X26" s="8" t="str">
        <f t="shared" si="4"/>
        <v>#N/A</v>
      </c>
    </row>
    <row r="27">
      <c r="A27" s="4">
        <f t="shared" si="5"/>
        <v>26</v>
      </c>
      <c r="B27" s="4" t="s">
        <v>288</v>
      </c>
      <c r="C27" s="4" t="s">
        <v>281</v>
      </c>
      <c r="D27" s="4" t="s">
        <v>10</v>
      </c>
      <c r="E27" s="4" t="s">
        <v>303</v>
      </c>
      <c r="F27" s="5">
        <v>5.6</v>
      </c>
      <c r="G27" s="5">
        <v>7.0</v>
      </c>
      <c r="H27" s="6" t="s">
        <v>302</v>
      </c>
      <c r="L27" s="7"/>
      <c r="M27" s="7"/>
      <c r="N27" s="7"/>
      <c r="O27" s="7"/>
      <c r="P27" s="7"/>
      <c r="Q27" s="7"/>
      <c r="U27" s="8" t="str">
        <f t="shared" si="1"/>
        <v/>
      </c>
      <c r="V27" s="8" t="str">
        <f t="shared" si="2"/>
        <v>#N/A</v>
      </c>
      <c r="W27" s="8">
        <f t="shared" si="3"/>
        <v>5.6</v>
      </c>
      <c r="X27" s="8">
        <f t="shared" si="4"/>
        <v>6</v>
      </c>
    </row>
    <row r="28">
      <c r="A28" s="4">
        <f t="shared" si="5"/>
        <v>27</v>
      </c>
      <c r="B28" s="4" t="s">
        <v>288</v>
      </c>
      <c r="C28" s="4" t="s">
        <v>286</v>
      </c>
      <c r="D28" s="4" t="s">
        <v>8</v>
      </c>
      <c r="E28" s="4" t="s">
        <v>20</v>
      </c>
      <c r="F28" s="5">
        <v>7.1</v>
      </c>
      <c r="G28" s="5">
        <v>2.0</v>
      </c>
      <c r="H28" s="7"/>
      <c r="I28" s="7"/>
      <c r="J28" s="7"/>
      <c r="K28" s="7"/>
      <c r="L28" s="7"/>
      <c r="M28" s="7"/>
      <c r="N28" s="7"/>
      <c r="O28" s="7"/>
      <c r="P28" s="7"/>
      <c r="Q28" s="7"/>
      <c r="U28" s="8">
        <f t="shared" si="1"/>
        <v>7.1</v>
      </c>
      <c r="V28" s="8">
        <f t="shared" si="2"/>
        <v>3</v>
      </c>
      <c r="W28" s="8" t="str">
        <f t="shared" si="3"/>
        <v/>
      </c>
      <c r="X28" s="8" t="str">
        <f t="shared" si="4"/>
        <v>#N/A</v>
      </c>
    </row>
    <row r="29">
      <c r="A29" s="4">
        <f t="shared" si="5"/>
        <v>28</v>
      </c>
      <c r="B29" s="4" t="s">
        <v>284</v>
      </c>
      <c r="C29" s="4" t="s">
        <v>293</v>
      </c>
      <c r="D29" s="4" t="s">
        <v>10</v>
      </c>
      <c r="E29" s="4" t="s">
        <v>304</v>
      </c>
      <c r="F29" s="5">
        <v>4.0</v>
      </c>
      <c r="G29" s="10">
        <v>5.0</v>
      </c>
      <c r="H29" s="7"/>
      <c r="I29" s="7"/>
      <c r="J29" s="7"/>
      <c r="K29" s="7"/>
      <c r="L29" s="7"/>
      <c r="M29" s="7"/>
      <c r="N29" s="7"/>
      <c r="O29" s="7"/>
      <c r="P29" s="7"/>
      <c r="Q29" s="7"/>
      <c r="U29" s="8" t="str">
        <f t="shared" si="1"/>
        <v/>
      </c>
      <c r="V29" s="8" t="str">
        <f t="shared" si="2"/>
        <v>#N/A</v>
      </c>
      <c r="W29" s="8">
        <f t="shared" si="3"/>
        <v>4</v>
      </c>
      <c r="X29" s="8">
        <f t="shared" si="4"/>
        <v>10</v>
      </c>
    </row>
    <row r="30">
      <c r="A30" s="4">
        <f t="shared" si="5"/>
        <v>29</v>
      </c>
      <c r="B30" s="4" t="s">
        <v>284</v>
      </c>
      <c r="C30" s="4" t="s">
        <v>293</v>
      </c>
      <c r="D30" s="4" t="s">
        <v>8</v>
      </c>
      <c r="E30" s="4" t="s">
        <v>106</v>
      </c>
      <c r="F30" s="5">
        <v>4.9</v>
      </c>
      <c r="G30" s="10">
        <v>1.0</v>
      </c>
      <c r="H30" s="11"/>
      <c r="I30" s="7"/>
      <c r="J30" s="7"/>
      <c r="K30" s="7"/>
      <c r="L30" s="7"/>
      <c r="M30" s="7"/>
      <c r="N30" s="7"/>
      <c r="O30" s="7"/>
      <c r="P30" s="7"/>
      <c r="Q30" s="7"/>
      <c r="U30" s="8">
        <f t="shared" si="1"/>
        <v>4.9</v>
      </c>
      <c r="V30" s="8">
        <f t="shared" si="2"/>
        <v>10</v>
      </c>
      <c r="W30" s="8" t="str">
        <f t="shared" si="3"/>
        <v/>
      </c>
      <c r="X30" s="8" t="str">
        <f t="shared" si="4"/>
        <v>#N/A</v>
      </c>
    </row>
    <row r="31">
      <c r="A31" s="4">
        <f t="shared" si="5"/>
        <v>30</v>
      </c>
      <c r="B31" s="4" t="s">
        <v>287</v>
      </c>
      <c r="C31" s="4" t="s">
        <v>284</v>
      </c>
      <c r="D31" s="4" t="s">
        <v>10</v>
      </c>
      <c r="E31" s="4" t="s">
        <v>305</v>
      </c>
      <c r="F31" s="5">
        <v>2.4</v>
      </c>
      <c r="G31" s="10">
        <v>4.0</v>
      </c>
      <c r="H31" s="7"/>
      <c r="I31" s="7"/>
      <c r="J31" s="7"/>
      <c r="K31" s="7"/>
      <c r="L31" s="7"/>
      <c r="M31" s="7"/>
      <c r="N31" s="7"/>
      <c r="O31" s="7"/>
      <c r="P31" s="7"/>
      <c r="Q31" s="7"/>
      <c r="U31" s="8" t="str">
        <f t="shared" si="1"/>
        <v/>
      </c>
      <c r="V31" s="8" t="str">
        <f t="shared" si="2"/>
        <v>#N/A</v>
      </c>
      <c r="W31" s="8">
        <f t="shared" si="3"/>
        <v>2.4</v>
      </c>
      <c r="X31" s="8">
        <f t="shared" si="4"/>
        <v>21</v>
      </c>
    </row>
    <row r="32">
      <c r="A32" s="4">
        <f t="shared" si="5"/>
        <v>31</v>
      </c>
      <c r="B32" s="4" t="s">
        <v>287</v>
      </c>
      <c r="C32" s="4" t="s">
        <v>287</v>
      </c>
      <c r="D32" s="4" t="s">
        <v>8</v>
      </c>
      <c r="E32" s="4" t="s">
        <v>221</v>
      </c>
      <c r="F32" s="5">
        <v>6.5</v>
      </c>
      <c r="G32" s="10">
        <v>1.0</v>
      </c>
      <c r="H32" s="7"/>
      <c r="I32" s="7"/>
      <c r="J32" s="7"/>
      <c r="K32" s="7"/>
      <c r="L32" s="7"/>
      <c r="M32" s="7"/>
      <c r="N32" s="7"/>
      <c r="O32" s="7"/>
      <c r="P32" s="7"/>
      <c r="Q32" s="7"/>
      <c r="U32" s="8">
        <f t="shared" si="1"/>
        <v>6.5</v>
      </c>
      <c r="V32" s="8">
        <f t="shared" si="2"/>
        <v>4</v>
      </c>
      <c r="W32" s="8" t="str">
        <f t="shared" si="3"/>
        <v/>
      </c>
      <c r="X32" s="8" t="str">
        <f t="shared" si="4"/>
        <v>#N/A</v>
      </c>
    </row>
    <row r="33">
      <c r="A33" s="4">
        <f t="shared" si="5"/>
        <v>32</v>
      </c>
      <c r="B33" s="4" t="s">
        <v>294</v>
      </c>
      <c r="C33" s="4" t="s">
        <v>280</v>
      </c>
      <c r="D33" s="4" t="s">
        <v>10</v>
      </c>
      <c r="E33" s="4" t="s">
        <v>306</v>
      </c>
      <c r="F33" s="5">
        <v>3.0</v>
      </c>
      <c r="G33" s="10">
        <v>3.0</v>
      </c>
      <c r="H33" s="7"/>
      <c r="I33" s="7"/>
      <c r="J33" s="7"/>
      <c r="K33" s="7"/>
      <c r="L33" s="7"/>
      <c r="M33" s="7"/>
      <c r="N33" s="7"/>
      <c r="O33" s="7"/>
      <c r="P33" s="7"/>
      <c r="Q33" s="7"/>
      <c r="U33" s="8" t="str">
        <f t="shared" si="1"/>
        <v/>
      </c>
      <c r="V33" s="8" t="str">
        <f t="shared" si="2"/>
        <v>#N/A</v>
      </c>
      <c r="W33" s="8">
        <f t="shared" si="3"/>
        <v>3</v>
      </c>
      <c r="X33" s="8">
        <f t="shared" si="4"/>
        <v>16</v>
      </c>
    </row>
    <row r="34">
      <c r="A34" s="4">
        <f t="shared" si="5"/>
        <v>33</v>
      </c>
      <c r="B34" s="4" t="s">
        <v>294</v>
      </c>
      <c r="C34" s="4" t="s">
        <v>293</v>
      </c>
      <c r="D34" s="4" t="s">
        <v>8</v>
      </c>
      <c r="E34" s="4" t="s">
        <v>126</v>
      </c>
      <c r="F34" s="5">
        <v>3.5</v>
      </c>
      <c r="G34" s="10">
        <v>1.0</v>
      </c>
      <c r="H34" s="7"/>
      <c r="I34" s="7"/>
      <c r="J34" s="7"/>
      <c r="K34" s="7"/>
      <c r="L34" s="7"/>
      <c r="M34" s="7"/>
      <c r="N34" s="7"/>
      <c r="O34" s="7"/>
      <c r="P34" s="7"/>
      <c r="Q34" s="7"/>
      <c r="U34" s="8">
        <f t="shared" si="1"/>
        <v>3.5</v>
      </c>
      <c r="V34" s="8">
        <f t="shared" si="2"/>
        <v>21</v>
      </c>
      <c r="W34" s="8" t="str">
        <f t="shared" si="3"/>
        <v/>
      </c>
      <c r="X34" s="8" t="str">
        <f t="shared" si="4"/>
        <v>#N/A</v>
      </c>
    </row>
    <row r="35">
      <c r="A35" s="4">
        <f t="shared" si="5"/>
        <v>34</v>
      </c>
      <c r="B35" s="4" t="s">
        <v>281</v>
      </c>
      <c r="C35" s="4" t="s">
        <v>284</v>
      </c>
      <c r="D35" s="4" t="s">
        <v>10</v>
      </c>
      <c r="E35" s="4" t="s">
        <v>307</v>
      </c>
      <c r="F35" s="5">
        <v>3.0</v>
      </c>
      <c r="G35" s="10">
        <v>4.0</v>
      </c>
      <c r="H35" s="7"/>
      <c r="I35" s="7"/>
      <c r="J35" s="7"/>
      <c r="K35" s="7"/>
      <c r="L35" s="7"/>
      <c r="M35" s="7"/>
      <c r="N35" s="7"/>
      <c r="O35" s="7"/>
      <c r="P35" s="7"/>
      <c r="Q35" s="7"/>
      <c r="U35" s="8" t="str">
        <f t="shared" si="1"/>
        <v/>
      </c>
      <c r="V35" s="8" t="str">
        <f t="shared" si="2"/>
        <v>#N/A</v>
      </c>
      <c r="W35" s="8">
        <f t="shared" si="3"/>
        <v>3</v>
      </c>
      <c r="X35" s="8">
        <f t="shared" si="4"/>
        <v>16</v>
      </c>
    </row>
    <row r="36">
      <c r="A36" s="4">
        <f t="shared" si="5"/>
        <v>35</v>
      </c>
      <c r="B36" s="4" t="s">
        <v>281</v>
      </c>
      <c r="C36" s="4" t="s">
        <v>273</v>
      </c>
      <c r="D36" s="4" t="s">
        <v>8</v>
      </c>
      <c r="E36" s="4" t="s">
        <v>95</v>
      </c>
      <c r="F36" s="5">
        <v>6.0</v>
      </c>
      <c r="G36" s="10">
        <v>1.0</v>
      </c>
      <c r="H36" s="7"/>
      <c r="I36" s="7"/>
      <c r="J36" s="7"/>
      <c r="K36" s="7"/>
      <c r="L36" s="7"/>
      <c r="M36" s="7"/>
      <c r="N36" s="7"/>
      <c r="O36" s="7"/>
      <c r="P36" s="7"/>
      <c r="Q36" s="7"/>
      <c r="U36" s="8">
        <f t="shared" si="1"/>
        <v>6</v>
      </c>
      <c r="V36" s="8">
        <f t="shared" si="2"/>
        <v>8</v>
      </c>
      <c r="W36" s="8" t="str">
        <f t="shared" si="3"/>
        <v/>
      </c>
      <c r="X36" s="8" t="str">
        <f t="shared" si="4"/>
        <v>#N/A</v>
      </c>
    </row>
    <row r="37">
      <c r="A37" s="4">
        <f t="shared" si="5"/>
        <v>36</v>
      </c>
      <c r="B37" s="4" t="s">
        <v>286</v>
      </c>
      <c r="C37" s="4" t="s">
        <v>284</v>
      </c>
      <c r="D37" s="4" t="s">
        <v>8</v>
      </c>
      <c r="E37" s="4" t="s">
        <v>227</v>
      </c>
      <c r="F37" s="5">
        <v>1.6</v>
      </c>
      <c r="G37" s="10">
        <v>1.0</v>
      </c>
      <c r="H37" s="7"/>
      <c r="I37" s="7"/>
      <c r="J37" s="7"/>
      <c r="K37" s="7"/>
      <c r="L37" s="7"/>
      <c r="M37" s="7"/>
      <c r="N37" s="7"/>
      <c r="O37" s="7"/>
      <c r="P37" s="7"/>
      <c r="Q37" s="7"/>
      <c r="U37" s="8">
        <f t="shared" si="1"/>
        <v>1.6</v>
      </c>
      <c r="V37" s="8">
        <f t="shared" si="2"/>
        <v>55</v>
      </c>
      <c r="W37" s="8" t="str">
        <f t="shared" si="3"/>
        <v/>
      </c>
      <c r="X37" s="8" t="str">
        <f t="shared" si="4"/>
        <v>#N/A</v>
      </c>
    </row>
    <row r="38">
      <c r="A38" s="4">
        <f t="shared" si="5"/>
        <v>37</v>
      </c>
      <c r="B38" s="4" t="s">
        <v>293</v>
      </c>
      <c r="C38" s="4" t="s">
        <v>273</v>
      </c>
      <c r="D38" s="4" t="s">
        <v>10</v>
      </c>
      <c r="E38" s="4" t="s">
        <v>83</v>
      </c>
      <c r="F38" s="5">
        <v>5.6</v>
      </c>
      <c r="G38" s="10">
        <v>1.0</v>
      </c>
      <c r="H38" s="7"/>
      <c r="I38" s="7"/>
      <c r="J38" s="7"/>
      <c r="K38" s="7"/>
      <c r="L38" s="7"/>
      <c r="M38" s="7"/>
      <c r="N38" s="7"/>
      <c r="O38" s="7"/>
      <c r="P38" s="7"/>
      <c r="Q38" s="7"/>
      <c r="U38" s="8" t="str">
        <f t="shared" si="1"/>
        <v/>
      </c>
      <c r="V38" s="8" t="str">
        <f t="shared" si="2"/>
        <v>#N/A</v>
      </c>
      <c r="W38" s="8">
        <f t="shared" si="3"/>
        <v>5.6</v>
      </c>
      <c r="X38" s="8">
        <f t="shared" si="4"/>
        <v>6</v>
      </c>
    </row>
    <row r="39">
      <c r="A39" s="4">
        <f t="shared" si="5"/>
        <v>38</v>
      </c>
      <c r="B39" s="4" t="s">
        <v>293</v>
      </c>
      <c r="C39" s="4" t="s">
        <v>285</v>
      </c>
      <c r="D39" s="4" t="s">
        <v>8</v>
      </c>
      <c r="E39" s="4" t="s">
        <v>186</v>
      </c>
      <c r="F39" s="5">
        <v>2.3</v>
      </c>
      <c r="G39" s="10">
        <v>1.0</v>
      </c>
      <c r="H39" s="7"/>
      <c r="I39" s="7"/>
      <c r="J39" s="7"/>
      <c r="K39" s="7"/>
      <c r="L39" s="7"/>
      <c r="M39" s="7"/>
      <c r="N39" s="7"/>
      <c r="O39" s="7"/>
      <c r="P39" s="7"/>
      <c r="Q39" s="7"/>
      <c r="U39" s="8">
        <f t="shared" si="1"/>
        <v>2.3</v>
      </c>
      <c r="V39" s="8">
        <f t="shared" si="2"/>
        <v>37</v>
      </c>
      <c r="W39" s="8" t="str">
        <f t="shared" si="3"/>
        <v/>
      </c>
      <c r="X39" s="8" t="str">
        <f t="shared" si="4"/>
        <v>#N/A</v>
      </c>
    </row>
    <row r="40">
      <c r="A40" s="4">
        <f t="shared" si="5"/>
        <v>39</v>
      </c>
      <c r="B40" s="4" t="s">
        <v>274</v>
      </c>
      <c r="C40" s="4" t="s">
        <v>294</v>
      </c>
      <c r="D40" s="4" t="s">
        <v>10</v>
      </c>
      <c r="E40" s="4" t="s">
        <v>86</v>
      </c>
      <c r="F40" s="5">
        <v>1.8</v>
      </c>
      <c r="G40" s="10">
        <v>1.0</v>
      </c>
      <c r="H40" s="7"/>
      <c r="I40" s="7"/>
      <c r="J40" s="7"/>
      <c r="K40" s="7"/>
      <c r="L40" s="7"/>
      <c r="M40" s="7"/>
      <c r="N40" s="7"/>
      <c r="O40" s="7"/>
      <c r="P40" s="7"/>
      <c r="Q40" s="7"/>
      <c r="U40" s="8" t="str">
        <f t="shared" si="1"/>
        <v/>
      </c>
      <c r="V40" s="8" t="str">
        <f t="shared" si="2"/>
        <v>#N/A</v>
      </c>
      <c r="W40" s="8">
        <f t="shared" si="3"/>
        <v>1.8</v>
      </c>
      <c r="X40" s="8">
        <f t="shared" si="4"/>
        <v>23</v>
      </c>
    </row>
    <row r="41">
      <c r="A41" s="4">
        <f t="shared" si="5"/>
        <v>40</v>
      </c>
      <c r="B41" s="4" t="s">
        <v>274</v>
      </c>
      <c r="C41" s="4" t="s">
        <v>285</v>
      </c>
      <c r="D41" s="4" t="s">
        <v>8</v>
      </c>
      <c r="E41" s="4" t="s">
        <v>208</v>
      </c>
      <c r="F41" s="5">
        <v>4.5</v>
      </c>
      <c r="G41" s="10">
        <v>1.0</v>
      </c>
      <c r="H41" s="11"/>
      <c r="I41" s="7"/>
      <c r="J41" s="7"/>
      <c r="K41" s="7"/>
      <c r="L41" s="7"/>
      <c r="M41" s="7"/>
      <c r="N41" s="7"/>
      <c r="O41" s="7"/>
      <c r="P41" s="7"/>
      <c r="Q41" s="7"/>
      <c r="U41" s="8">
        <f t="shared" si="1"/>
        <v>4.5</v>
      </c>
      <c r="V41" s="8">
        <f t="shared" si="2"/>
        <v>11</v>
      </c>
      <c r="W41" s="8" t="str">
        <f t="shared" si="3"/>
        <v/>
      </c>
      <c r="X41" s="8" t="str">
        <f t="shared" si="4"/>
        <v>#N/A</v>
      </c>
    </row>
    <row r="42">
      <c r="A42" s="4">
        <f t="shared" si="5"/>
        <v>41</v>
      </c>
      <c r="B42" s="4" t="s">
        <v>273</v>
      </c>
      <c r="C42" s="4" t="s">
        <v>284</v>
      </c>
      <c r="D42" s="4" t="s">
        <v>10</v>
      </c>
      <c r="E42" s="4" t="s">
        <v>308</v>
      </c>
      <c r="F42" s="5">
        <v>3.0</v>
      </c>
      <c r="G42" s="10">
        <v>7.0</v>
      </c>
      <c r="H42" s="7"/>
      <c r="I42" s="7"/>
      <c r="J42" s="7"/>
      <c r="K42" s="7"/>
      <c r="L42" s="7"/>
      <c r="M42" s="7"/>
      <c r="N42" s="7"/>
      <c r="O42" s="7"/>
      <c r="P42" s="7"/>
      <c r="Q42" s="7"/>
      <c r="U42" s="8" t="str">
        <f t="shared" si="1"/>
        <v/>
      </c>
      <c r="V42" s="8" t="str">
        <f t="shared" si="2"/>
        <v>#N/A</v>
      </c>
      <c r="W42" s="8">
        <f t="shared" si="3"/>
        <v>3</v>
      </c>
      <c r="X42" s="8">
        <f t="shared" si="4"/>
        <v>16</v>
      </c>
    </row>
    <row r="43">
      <c r="A43" s="4">
        <f t="shared" si="5"/>
        <v>42</v>
      </c>
      <c r="B43" s="4" t="s">
        <v>273</v>
      </c>
      <c r="C43" s="4" t="s">
        <v>280</v>
      </c>
      <c r="D43" s="4" t="s">
        <v>8</v>
      </c>
      <c r="E43" s="4" t="s">
        <v>225</v>
      </c>
      <c r="F43" s="5">
        <v>2.1</v>
      </c>
      <c r="G43" s="10">
        <v>1.0</v>
      </c>
      <c r="H43" s="7"/>
      <c r="I43" s="7"/>
      <c r="J43" s="7"/>
      <c r="K43" s="7"/>
      <c r="L43" s="7"/>
      <c r="M43" s="7"/>
      <c r="N43" s="7"/>
      <c r="O43" s="7"/>
      <c r="P43" s="7"/>
      <c r="Q43" s="7"/>
      <c r="U43" s="8">
        <f t="shared" si="1"/>
        <v>2.1</v>
      </c>
      <c r="V43" s="8">
        <f t="shared" si="2"/>
        <v>42</v>
      </c>
      <c r="W43" s="8" t="str">
        <f t="shared" si="3"/>
        <v/>
      </c>
      <c r="X43" s="8" t="str">
        <f t="shared" si="4"/>
        <v>#N/A</v>
      </c>
    </row>
    <row r="44">
      <c r="A44" s="4">
        <f t="shared" si="5"/>
        <v>43</v>
      </c>
      <c r="B44" s="4" t="s">
        <v>280</v>
      </c>
      <c r="C44" s="4" t="s">
        <v>280</v>
      </c>
      <c r="D44" s="4" t="s">
        <v>10</v>
      </c>
      <c r="E44" s="4" t="s">
        <v>174</v>
      </c>
      <c r="F44" s="5">
        <v>3.3</v>
      </c>
      <c r="G44" s="10">
        <v>1.0</v>
      </c>
      <c r="H44" s="7"/>
      <c r="I44" s="7"/>
      <c r="J44" s="7"/>
      <c r="K44" s="7"/>
      <c r="L44" s="7"/>
      <c r="M44" s="7"/>
      <c r="N44" s="7"/>
      <c r="O44" s="7"/>
      <c r="P44" s="7"/>
      <c r="Q44" s="7"/>
      <c r="U44" s="8" t="str">
        <f t="shared" si="1"/>
        <v/>
      </c>
      <c r="V44" s="8" t="str">
        <f t="shared" si="2"/>
        <v>#N/A</v>
      </c>
      <c r="W44" s="8">
        <f t="shared" si="3"/>
        <v>3.3</v>
      </c>
      <c r="X44" s="8">
        <f t="shared" si="4"/>
        <v>11</v>
      </c>
    </row>
    <row r="45">
      <c r="A45" s="4">
        <f t="shared" si="5"/>
        <v>44</v>
      </c>
      <c r="B45" s="4" t="s">
        <v>280</v>
      </c>
      <c r="C45" s="4" t="s">
        <v>274</v>
      </c>
      <c r="D45" s="4" t="s">
        <v>8</v>
      </c>
      <c r="E45" s="4" t="s">
        <v>214</v>
      </c>
      <c r="F45" s="5">
        <v>1.7</v>
      </c>
      <c r="G45" s="10">
        <v>1.0</v>
      </c>
      <c r="H45" s="11"/>
      <c r="I45" s="11"/>
      <c r="J45" s="7"/>
      <c r="K45" s="11"/>
      <c r="L45" s="7"/>
      <c r="M45" s="7"/>
      <c r="N45" s="7"/>
      <c r="O45" s="7"/>
      <c r="P45" s="7"/>
      <c r="Q45" s="7"/>
      <c r="U45" s="8">
        <f t="shared" si="1"/>
        <v>1.7</v>
      </c>
      <c r="V45" s="8">
        <f t="shared" si="2"/>
        <v>53</v>
      </c>
      <c r="W45" s="8" t="str">
        <f t="shared" si="3"/>
        <v/>
      </c>
      <c r="X45" s="8" t="str">
        <f t="shared" si="4"/>
        <v>#N/A</v>
      </c>
    </row>
    <row r="46">
      <c r="A46" s="4">
        <f t="shared" si="5"/>
        <v>45</v>
      </c>
      <c r="B46" s="4" t="s">
        <v>285</v>
      </c>
      <c r="C46" s="4" t="s">
        <v>285</v>
      </c>
      <c r="D46" s="4" t="s">
        <v>10</v>
      </c>
      <c r="E46" s="4" t="s">
        <v>47</v>
      </c>
      <c r="F46" s="5">
        <v>2.2</v>
      </c>
      <c r="G46" s="10">
        <v>2.0</v>
      </c>
      <c r="H46" s="4" t="s">
        <v>309</v>
      </c>
      <c r="J46" s="7"/>
      <c r="K46" s="7"/>
      <c r="L46" s="7"/>
      <c r="M46" s="7"/>
      <c r="N46" s="7"/>
      <c r="O46" s="7"/>
      <c r="P46" s="7"/>
      <c r="Q46" s="7"/>
      <c r="U46" s="8" t="str">
        <f t="shared" si="1"/>
        <v/>
      </c>
      <c r="V46" s="8" t="str">
        <f t="shared" si="2"/>
        <v>#N/A</v>
      </c>
      <c r="W46" s="8">
        <f t="shared" si="3"/>
        <v>2.2</v>
      </c>
      <c r="X46" s="8">
        <f t="shared" si="4"/>
        <v>22</v>
      </c>
    </row>
    <row r="47">
      <c r="A47" s="4">
        <f t="shared" si="5"/>
        <v>46</v>
      </c>
      <c r="B47" s="4" t="s">
        <v>285</v>
      </c>
      <c r="C47" s="4" t="s">
        <v>280</v>
      </c>
      <c r="D47" s="4" t="s">
        <v>8</v>
      </c>
      <c r="E47" s="4" t="s">
        <v>96</v>
      </c>
      <c r="F47" s="5">
        <v>2.6</v>
      </c>
      <c r="G47" s="10">
        <v>1.0</v>
      </c>
      <c r="H47" s="7"/>
      <c r="I47" s="7"/>
      <c r="J47" s="7"/>
      <c r="K47" s="11"/>
      <c r="L47" s="11"/>
      <c r="M47" s="7"/>
      <c r="N47" s="7"/>
      <c r="O47" s="7"/>
      <c r="P47" s="7"/>
      <c r="Q47" s="7"/>
      <c r="U47" s="8">
        <f t="shared" si="1"/>
        <v>2.6</v>
      </c>
      <c r="V47" s="8">
        <f t="shared" si="2"/>
        <v>31</v>
      </c>
      <c r="W47" s="8" t="str">
        <f t="shared" si="3"/>
        <v/>
      </c>
      <c r="X47" s="8" t="str">
        <f t="shared" si="4"/>
        <v>#N/A</v>
      </c>
    </row>
    <row r="48">
      <c r="A48" s="4">
        <f t="shared" si="5"/>
        <v>47</v>
      </c>
      <c r="B48" s="4" t="s">
        <v>288</v>
      </c>
      <c r="C48" s="4" t="s">
        <v>285</v>
      </c>
      <c r="D48" s="4" t="s">
        <v>10</v>
      </c>
      <c r="E48" s="4" t="s">
        <v>63</v>
      </c>
      <c r="F48" s="5">
        <v>1.7</v>
      </c>
      <c r="G48" s="10">
        <v>2.0</v>
      </c>
      <c r="H48" s="7"/>
      <c r="I48" s="7"/>
      <c r="J48" s="7"/>
      <c r="K48" s="7"/>
      <c r="L48" s="7"/>
      <c r="M48" s="7"/>
      <c r="N48" s="7"/>
      <c r="O48" s="7"/>
      <c r="P48" s="7"/>
      <c r="Q48" s="7"/>
      <c r="U48" s="8" t="str">
        <f t="shared" si="1"/>
        <v/>
      </c>
      <c r="V48" s="8" t="str">
        <f t="shared" si="2"/>
        <v>#N/A</v>
      </c>
      <c r="W48" s="8">
        <f t="shared" si="3"/>
        <v>1.7</v>
      </c>
      <c r="X48" s="8">
        <f t="shared" si="4"/>
        <v>24</v>
      </c>
    </row>
    <row r="49">
      <c r="A49" s="4">
        <f t="shared" si="5"/>
        <v>48</v>
      </c>
      <c r="B49" s="4" t="s">
        <v>288</v>
      </c>
      <c r="C49" s="4" t="s">
        <v>293</v>
      </c>
      <c r="D49" s="4" t="s">
        <v>8</v>
      </c>
      <c r="E49" s="4" t="s">
        <v>165</v>
      </c>
      <c r="F49" s="5">
        <v>1.1</v>
      </c>
      <c r="G49" s="10">
        <v>1.0</v>
      </c>
      <c r="H49" s="7"/>
      <c r="I49" s="7"/>
      <c r="J49" s="7"/>
      <c r="K49" s="7"/>
      <c r="L49" s="7"/>
      <c r="M49" s="7"/>
      <c r="N49" s="7"/>
      <c r="O49" s="7"/>
      <c r="P49" s="7"/>
      <c r="Q49" s="7"/>
      <c r="U49" s="8">
        <f t="shared" si="1"/>
        <v>1.1</v>
      </c>
      <c r="V49" s="8">
        <f t="shared" si="2"/>
        <v>71</v>
      </c>
      <c r="W49" s="8" t="str">
        <f t="shared" si="3"/>
        <v/>
      </c>
      <c r="X49" s="8" t="str">
        <f t="shared" si="4"/>
        <v>#N/A</v>
      </c>
    </row>
    <row r="50">
      <c r="A50" s="4">
        <f t="shared" si="5"/>
        <v>49</v>
      </c>
      <c r="B50" s="4" t="s">
        <v>284</v>
      </c>
      <c r="C50" s="4" t="s">
        <v>286</v>
      </c>
      <c r="D50" s="4" t="s">
        <v>10</v>
      </c>
      <c r="E50" s="4" t="s">
        <v>46</v>
      </c>
      <c r="F50" s="5">
        <v>2.8</v>
      </c>
      <c r="G50" s="10">
        <v>2.0</v>
      </c>
      <c r="H50" s="4" t="s">
        <v>310</v>
      </c>
      <c r="L50" s="7"/>
      <c r="M50" s="7"/>
      <c r="N50" s="7"/>
      <c r="O50" s="7"/>
      <c r="P50" s="7"/>
      <c r="Q50" s="7"/>
      <c r="U50" s="8" t="str">
        <f t="shared" si="1"/>
        <v/>
      </c>
      <c r="V50" s="8" t="str">
        <f t="shared" si="2"/>
        <v>#N/A</v>
      </c>
      <c r="W50" s="8">
        <f t="shared" si="3"/>
        <v>2.8</v>
      </c>
      <c r="X50" s="8">
        <f t="shared" si="4"/>
        <v>20</v>
      </c>
    </row>
    <row r="51">
      <c r="A51" s="4">
        <f t="shared" si="5"/>
        <v>50</v>
      </c>
      <c r="B51" s="4" t="s">
        <v>284</v>
      </c>
      <c r="C51" s="4" t="s">
        <v>280</v>
      </c>
      <c r="D51" s="4" t="s">
        <v>8</v>
      </c>
      <c r="E51" s="4" t="s">
        <v>84</v>
      </c>
      <c r="F51" s="5">
        <v>4.3</v>
      </c>
      <c r="G51" s="10">
        <v>1.0</v>
      </c>
      <c r="H51" s="7"/>
      <c r="I51" s="7"/>
      <c r="J51" s="7"/>
      <c r="K51" s="7"/>
      <c r="L51" s="7"/>
      <c r="M51" s="7"/>
      <c r="N51" s="7"/>
      <c r="O51" s="7"/>
      <c r="P51" s="7"/>
      <c r="Q51" s="7"/>
      <c r="U51" s="8">
        <f t="shared" si="1"/>
        <v>4.3</v>
      </c>
      <c r="V51" s="8">
        <f t="shared" si="2"/>
        <v>15</v>
      </c>
      <c r="W51" s="8" t="str">
        <f t="shared" si="3"/>
        <v/>
      </c>
      <c r="X51" s="8" t="str">
        <f t="shared" si="4"/>
        <v>#N/A</v>
      </c>
    </row>
    <row r="52">
      <c r="A52" s="4">
        <f t="shared" si="5"/>
        <v>51</v>
      </c>
      <c r="B52" s="4" t="s">
        <v>287</v>
      </c>
      <c r="C52" s="4" t="s">
        <v>280</v>
      </c>
      <c r="D52" s="4" t="s">
        <v>10</v>
      </c>
      <c r="E52" s="4" t="s">
        <v>168</v>
      </c>
      <c r="F52" s="5">
        <v>0.7</v>
      </c>
      <c r="G52" s="10">
        <v>1.0</v>
      </c>
      <c r="H52" s="7"/>
      <c r="I52" s="7"/>
      <c r="J52" s="7"/>
      <c r="K52" s="7"/>
      <c r="L52" s="7"/>
      <c r="M52" s="7"/>
      <c r="N52" s="7"/>
      <c r="O52" s="7"/>
      <c r="P52" s="7"/>
      <c r="Q52" s="7"/>
      <c r="U52" s="8" t="str">
        <f t="shared" si="1"/>
        <v/>
      </c>
      <c r="V52" s="8" t="str">
        <f t="shared" si="2"/>
        <v>#N/A</v>
      </c>
      <c r="W52" s="8">
        <f t="shared" si="3"/>
        <v>0.7</v>
      </c>
      <c r="X52" s="8">
        <f t="shared" si="4"/>
        <v>25</v>
      </c>
    </row>
    <row r="53">
      <c r="A53" s="4">
        <f t="shared" si="5"/>
        <v>52</v>
      </c>
      <c r="B53" s="4" t="s">
        <v>287</v>
      </c>
      <c r="C53" s="4" t="s">
        <v>293</v>
      </c>
      <c r="D53" s="4" t="s">
        <v>8</v>
      </c>
      <c r="E53" s="4" t="s">
        <v>155</v>
      </c>
      <c r="F53" s="5">
        <v>2.5</v>
      </c>
      <c r="G53" s="10">
        <v>1.0</v>
      </c>
      <c r="H53" s="7"/>
      <c r="I53" s="7"/>
      <c r="J53" s="7"/>
      <c r="K53" s="7"/>
      <c r="L53" s="7"/>
      <c r="M53" s="7"/>
      <c r="N53" s="7"/>
      <c r="O53" s="7"/>
      <c r="P53" s="7"/>
      <c r="Q53" s="7"/>
      <c r="U53" s="8">
        <f t="shared" si="1"/>
        <v>2.5</v>
      </c>
      <c r="V53" s="8">
        <f t="shared" si="2"/>
        <v>34</v>
      </c>
      <c r="W53" s="8" t="str">
        <f t="shared" si="3"/>
        <v/>
      </c>
      <c r="X53" s="8" t="str">
        <f t="shared" si="4"/>
        <v>#N/A</v>
      </c>
    </row>
    <row r="54">
      <c r="A54" s="4">
        <f t="shared" si="5"/>
        <v>53</v>
      </c>
      <c r="B54" s="4" t="s">
        <v>294</v>
      </c>
      <c r="C54" s="4" t="s">
        <v>281</v>
      </c>
      <c r="D54" s="4" t="s">
        <v>10</v>
      </c>
      <c r="E54" s="4" t="s">
        <v>311</v>
      </c>
      <c r="F54" s="5">
        <v>3.2</v>
      </c>
      <c r="G54" s="10">
        <v>3.0</v>
      </c>
      <c r="H54" s="7"/>
      <c r="I54" s="7"/>
      <c r="J54" s="7"/>
      <c r="K54" s="7"/>
      <c r="L54" s="7"/>
      <c r="M54" s="7"/>
      <c r="N54" s="7"/>
      <c r="O54" s="7"/>
      <c r="P54" s="7"/>
      <c r="Q54" s="7"/>
      <c r="U54" s="8" t="str">
        <f t="shared" si="1"/>
        <v/>
      </c>
      <c r="V54" s="8" t="str">
        <f t="shared" si="2"/>
        <v>#N/A</v>
      </c>
      <c r="W54" s="8">
        <f t="shared" si="3"/>
        <v>3.2</v>
      </c>
      <c r="X54" s="8">
        <f t="shared" si="4"/>
        <v>12</v>
      </c>
    </row>
    <row r="55">
      <c r="A55" s="4">
        <f t="shared" si="5"/>
        <v>54</v>
      </c>
      <c r="B55" s="4" t="s">
        <v>294</v>
      </c>
      <c r="C55" s="4" t="s">
        <v>274</v>
      </c>
      <c r="D55" s="4" t="s">
        <v>8</v>
      </c>
      <c r="E55" s="4" t="s">
        <v>312</v>
      </c>
      <c r="F55" s="5">
        <v>3.5</v>
      </c>
      <c r="G55" s="10">
        <v>1.0</v>
      </c>
      <c r="H55" s="7"/>
      <c r="I55" s="7"/>
      <c r="J55" s="7"/>
      <c r="K55" s="7"/>
      <c r="L55" s="7"/>
      <c r="M55" s="7"/>
      <c r="N55" s="7"/>
      <c r="O55" s="7"/>
      <c r="P55" s="7"/>
      <c r="Q55" s="7"/>
      <c r="U55" s="8">
        <f t="shared" si="1"/>
        <v>3.5</v>
      </c>
      <c r="V55" s="8">
        <f t="shared" si="2"/>
        <v>21</v>
      </c>
      <c r="W55" s="8" t="str">
        <f t="shared" si="3"/>
        <v/>
      </c>
      <c r="X55" s="8" t="str">
        <f t="shared" si="4"/>
        <v>#N/A</v>
      </c>
    </row>
    <row r="56">
      <c r="A56" s="4">
        <f t="shared" si="5"/>
        <v>55</v>
      </c>
      <c r="B56" s="4" t="s">
        <v>281</v>
      </c>
      <c r="C56" s="4" t="s">
        <v>281</v>
      </c>
      <c r="D56" s="4" t="s">
        <v>10</v>
      </c>
      <c r="E56" s="4" t="s">
        <v>313</v>
      </c>
      <c r="F56" s="5">
        <v>0.6</v>
      </c>
      <c r="G56" s="10">
        <v>5.0</v>
      </c>
      <c r="H56" s="7"/>
      <c r="I56" s="7"/>
      <c r="J56" s="7"/>
      <c r="K56" s="7"/>
      <c r="L56" s="7"/>
      <c r="M56" s="7"/>
      <c r="N56" s="7"/>
      <c r="O56" s="7"/>
      <c r="P56" s="7"/>
      <c r="Q56" s="7"/>
      <c r="U56" s="8" t="str">
        <f t="shared" si="1"/>
        <v/>
      </c>
      <c r="V56" s="8" t="str">
        <f t="shared" si="2"/>
        <v>#N/A</v>
      </c>
      <c r="W56" s="8">
        <f t="shared" si="3"/>
        <v>0.6</v>
      </c>
      <c r="X56" s="8">
        <f t="shared" si="4"/>
        <v>26</v>
      </c>
    </row>
    <row r="57">
      <c r="A57" s="4">
        <f t="shared" si="5"/>
        <v>56</v>
      </c>
      <c r="B57" s="4" t="s">
        <v>281</v>
      </c>
      <c r="C57" s="4" t="s">
        <v>285</v>
      </c>
      <c r="D57" s="4" t="s">
        <v>8</v>
      </c>
      <c r="E57" s="4" t="s">
        <v>154</v>
      </c>
      <c r="F57" s="5">
        <v>1.9</v>
      </c>
      <c r="G57" s="10">
        <v>1.0</v>
      </c>
      <c r="H57" s="7"/>
      <c r="I57" s="7"/>
      <c r="J57" s="7"/>
      <c r="K57" s="7"/>
      <c r="L57" s="7"/>
      <c r="M57" s="7"/>
      <c r="N57" s="7"/>
      <c r="O57" s="7"/>
      <c r="P57" s="7"/>
      <c r="Q57" s="7"/>
      <c r="U57" s="8">
        <f t="shared" si="1"/>
        <v>1.9</v>
      </c>
      <c r="V57" s="8">
        <f t="shared" si="2"/>
        <v>47</v>
      </c>
      <c r="W57" s="8" t="str">
        <f t="shared" si="3"/>
        <v/>
      </c>
      <c r="X57" s="8" t="str">
        <f t="shared" si="4"/>
        <v>#N/A</v>
      </c>
    </row>
    <row r="58">
      <c r="A58" s="4">
        <f t="shared" si="5"/>
        <v>57</v>
      </c>
      <c r="B58" s="4" t="s">
        <v>286</v>
      </c>
      <c r="C58" s="4" t="s">
        <v>285</v>
      </c>
      <c r="D58" s="4" t="s">
        <v>8</v>
      </c>
      <c r="E58" s="4" t="s">
        <v>60</v>
      </c>
      <c r="F58" s="5">
        <v>2.8</v>
      </c>
      <c r="G58" s="10">
        <v>1.0</v>
      </c>
      <c r="H58" s="7"/>
      <c r="I58" s="7"/>
      <c r="J58" s="7"/>
      <c r="K58" s="7"/>
      <c r="L58" s="7"/>
      <c r="M58" s="7"/>
      <c r="N58" s="7"/>
      <c r="O58" s="7"/>
      <c r="P58" s="7"/>
      <c r="Q58" s="7"/>
      <c r="U58" s="8">
        <f t="shared" si="1"/>
        <v>2.8</v>
      </c>
      <c r="V58" s="8">
        <f t="shared" si="2"/>
        <v>28</v>
      </c>
      <c r="W58" s="8" t="str">
        <f t="shared" si="3"/>
        <v/>
      </c>
      <c r="X58" s="8" t="str">
        <f t="shared" si="4"/>
        <v>#N/A</v>
      </c>
    </row>
    <row r="59">
      <c r="A59" s="4">
        <f t="shared" si="5"/>
        <v>58</v>
      </c>
      <c r="B59" s="4" t="s">
        <v>293</v>
      </c>
      <c r="C59" s="4" t="s">
        <v>293</v>
      </c>
      <c r="D59" s="4" t="s">
        <v>8</v>
      </c>
      <c r="E59" s="4" t="s">
        <v>314</v>
      </c>
      <c r="F59" s="5">
        <v>2.3</v>
      </c>
      <c r="G59" s="10">
        <v>2.0</v>
      </c>
      <c r="H59" s="7"/>
      <c r="I59" s="7"/>
      <c r="J59" s="7"/>
      <c r="K59" s="7"/>
      <c r="L59" s="7"/>
      <c r="M59" s="7"/>
      <c r="N59" s="7"/>
      <c r="O59" s="7"/>
      <c r="P59" s="7"/>
      <c r="Q59" s="7"/>
      <c r="U59" s="8">
        <f t="shared" si="1"/>
        <v>2.3</v>
      </c>
      <c r="V59" s="8">
        <f t="shared" si="2"/>
        <v>37</v>
      </c>
      <c r="W59" s="8" t="str">
        <f t="shared" si="3"/>
        <v/>
      </c>
      <c r="X59" s="8" t="str">
        <f t="shared" si="4"/>
        <v>#N/A</v>
      </c>
    </row>
    <row r="60">
      <c r="A60" s="4">
        <f t="shared" si="5"/>
        <v>59</v>
      </c>
      <c r="B60" s="4" t="s">
        <v>274</v>
      </c>
      <c r="C60" s="4" t="s">
        <v>273</v>
      </c>
      <c r="D60" s="4" t="s">
        <v>8</v>
      </c>
      <c r="E60" s="4" t="s">
        <v>315</v>
      </c>
      <c r="F60" s="5">
        <v>4.5</v>
      </c>
      <c r="G60" s="10">
        <v>2.0</v>
      </c>
      <c r="H60" s="7"/>
      <c r="I60" s="7"/>
      <c r="J60" s="7"/>
      <c r="K60" s="7"/>
      <c r="L60" s="7"/>
      <c r="M60" s="7"/>
      <c r="N60" s="7"/>
      <c r="O60" s="7"/>
      <c r="P60" s="7"/>
      <c r="Q60" s="7"/>
      <c r="U60" s="8">
        <f t="shared" si="1"/>
        <v>4.5</v>
      </c>
      <c r="V60" s="8">
        <f t="shared" si="2"/>
        <v>11</v>
      </c>
      <c r="W60" s="8" t="str">
        <f t="shared" si="3"/>
        <v/>
      </c>
      <c r="X60" s="8" t="str">
        <f t="shared" si="4"/>
        <v>#N/A</v>
      </c>
    </row>
    <row r="61">
      <c r="A61" s="4">
        <f t="shared" si="5"/>
        <v>60</v>
      </c>
      <c r="B61" s="4" t="s">
        <v>273</v>
      </c>
      <c r="C61" s="4" t="s">
        <v>285</v>
      </c>
      <c r="D61" s="4" t="s">
        <v>8</v>
      </c>
      <c r="E61" s="4" t="s">
        <v>144</v>
      </c>
      <c r="F61" s="5">
        <v>2.6</v>
      </c>
      <c r="G61" s="10">
        <v>1.0</v>
      </c>
      <c r="H61" s="7"/>
      <c r="I61" s="7"/>
      <c r="J61" s="7"/>
      <c r="K61" s="7"/>
      <c r="L61" s="7"/>
      <c r="M61" s="7"/>
      <c r="N61" s="7"/>
      <c r="O61" s="7"/>
      <c r="P61" s="7"/>
      <c r="Q61" s="7"/>
      <c r="U61" s="8">
        <f t="shared" si="1"/>
        <v>2.6</v>
      </c>
      <c r="V61" s="8">
        <f t="shared" si="2"/>
        <v>31</v>
      </c>
      <c r="W61" s="8" t="str">
        <f t="shared" si="3"/>
        <v/>
      </c>
      <c r="X61" s="8" t="str">
        <f t="shared" si="4"/>
        <v>#N/A</v>
      </c>
    </row>
    <row r="62">
      <c r="A62" s="4">
        <f t="shared" si="5"/>
        <v>61</v>
      </c>
      <c r="B62" s="4" t="s">
        <v>280</v>
      </c>
      <c r="C62" s="4" t="s">
        <v>294</v>
      </c>
      <c r="D62" s="4" t="s">
        <v>8</v>
      </c>
      <c r="E62" s="4" t="s">
        <v>228</v>
      </c>
      <c r="F62" s="5">
        <v>3.1</v>
      </c>
      <c r="G62" s="10">
        <v>1.0</v>
      </c>
      <c r="H62" s="7"/>
      <c r="I62" s="7"/>
      <c r="J62" s="7"/>
      <c r="K62" s="7"/>
      <c r="L62" s="7"/>
      <c r="M62" s="7"/>
      <c r="N62" s="7"/>
      <c r="O62" s="7"/>
      <c r="P62" s="7"/>
      <c r="Q62" s="7"/>
      <c r="U62" s="8">
        <f t="shared" si="1"/>
        <v>3.1</v>
      </c>
      <c r="V62" s="8">
        <f t="shared" si="2"/>
        <v>25</v>
      </c>
      <c r="W62" s="8" t="str">
        <f t="shared" si="3"/>
        <v/>
      </c>
      <c r="X62" s="8" t="str">
        <f t="shared" si="4"/>
        <v>#N/A</v>
      </c>
    </row>
    <row r="63">
      <c r="A63" s="4">
        <f t="shared" si="5"/>
        <v>62</v>
      </c>
      <c r="B63" s="4" t="s">
        <v>285</v>
      </c>
      <c r="C63" s="4" t="s">
        <v>285</v>
      </c>
      <c r="D63" s="4" t="s">
        <v>8</v>
      </c>
      <c r="E63" s="4" t="s">
        <v>79</v>
      </c>
      <c r="F63" s="5">
        <v>3.1</v>
      </c>
      <c r="G63" s="10">
        <v>1.0</v>
      </c>
      <c r="H63" s="7"/>
      <c r="I63" s="7"/>
      <c r="J63" s="7"/>
      <c r="K63" s="7"/>
      <c r="L63" s="7"/>
      <c r="M63" s="7"/>
      <c r="N63" s="7"/>
      <c r="O63" s="7"/>
      <c r="P63" s="7"/>
      <c r="Q63" s="7"/>
      <c r="U63" s="8">
        <f t="shared" si="1"/>
        <v>3.1</v>
      </c>
      <c r="V63" s="8">
        <f t="shared" si="2"/>
        <v>25</v>
      </c>
      <c r="W63" s="8" t="str">
        <f t="shared" si="3"/>
        <v/>
      </c>
      <c r="X63" s="8" t="str">
        <f t="shared" si="4"/>
        <v>#N/A</v>
      </c>
    </row>
    <row r="64">
      <c r="A64" s="4">
        <f t="shared" si="5"/>
        <v>63</v>
      </c>
      <c r="B64" s="4" t="s">
        <v>288</v>
      </c>
      <c r="C64" s="4" t="s">
        <v>288</v>
      </c>
      <c r="D64" s="4" t="s">
        <v>8</v>
      </c>
      <c r="E64" s="4" t="s">
        <v>244</v>
      </c>
      <c r="F64" s="5">
        <v>1.1</v>
      </c>
      <c r="G64" s="10">
        <v>1.0</v>
      </c>
      <c r="H64" s="7"/>
      <c r="I64" s="7"/>
      <c r="J64" s="7"/>
      <c r="K64" s="7"/>
      <c r="L64" s="7"/>
      <c r="M64" s="7"/>
      <c r="N64" s="7"/>
      <c r="O64" s="7"/>
      <c r="P64" s="7"/>
      <c r="Q64" s="7"/>
      <c r="U64" s="8">
        <f t="shared" si="1"/>
        <v>1.1</v>
      </c>
      <c r="V64" s="8">
        <f t="shared" si="2"/>
        <v>71</v>
      </c>
      <c r="W64" s="8" t="str">
        <f t="shared" si="3"/>
        <v/>
      </c>
      <c r="X64" s="8" t="str">
        <f t="shared" si="4"/>
        <v>#N/A</v>
      </c>
    </row>
    <row r="65">
      <c r="A65" s="4">
        <f t="shared" si="5"/>
        <v>64</v>
      </c>
      <c r="B65" s="4" t="s">
        <v>284</v>
      </c>
      <c r="C65" s="4" t="s">
        <v>293</v>
      </c>
      <c r="D65" s="4" t="s">
        <v>8</v>
      </c>
      <c r="E65" s="4" t="s">
        <v>93</v>
      </c>
      <c r="F65" s="5">
        <v>2.8</v>
      </c>
      <c r="G65" s="10">
        <v>1.0</v>
      </c>
      <c r="H65" s="7"/>
      <c r="I65" s="7"/>
      <c r="J65" s="7"/>
      <c r="K65" s="7"/>
      <c r="L65" s="7"/>
      <c r="M65" s="7"/>
      <c r="N65" s="7"/>
      <c r="O65" s="7"/>
      <c r="P65" s="7"/>
      <c r="Q65" s="7"/>
      <c r="U65" s="8">
        <f t="shared" si="1"/>
        <v>2.8</v>
      </c>
      <c r="V65" s="8">
        <f t="shared" si="2"/>
        <v>28</v>
      </c>
      <c r="W65" s="8" t="str">
        <f t="shared" si="3"/>
        <v/>
      </c>
      <c r="X65" s="8" t="str">
        <f t="shared" si="4"/>
        <v>#N/A</v>
      </c>
    </row>
    <row r="66">
      <c r="A66" s="4">
        <f t="shared" si="5"/>
        <v>65</v>
      </c>
      <c r="B66" s="4" t="s">
        <v>287</v>
      </c>
      <c r="C66" s="4" t="s">
        <v>288</v>
      </c>
      <c r="D66" s="4" t="s">
        <v>8</v>
      </c>
      <c r="E66" s="4" t="s">
        <v>316</v>
      </c>
      <c r="F66" s="5">
        <v>4.2</v>
      </c>
      <c r="G66" s="10">
        <v>3.0</v>
      </c>
      <c r="H66" s="7"/>
      <c r="I66" s="7"/>
      <c r="J66" s="7"/>
      <c r="K66" s="7"/>
      <c r="L66" s="7"/>
      <c r="M66" s="7"/>
      <c r="N66" s="7"/>
      <c r="O66" s="7"/>
      <c r="P66" s="7"/>
      <c r="Q66" s="7"/>
      <c r="U66" s="8">
        <f t="shared" si="1"/>
        <v>4.2</v>
      </c>
      <c r="V66" s="8">
        <f t="shared" si="2"/>
        <v>16</v>
      </c>
      <c r="W66" s="8" t="str">
        <f t="shared" si="3"/>
        <v/>
      </c>
      <c r="X66" s="8" t="str">
        <f t="shared" si="4"/>
        <v>#N/A</v>
      </c>
    </row>
    <row r="67">
      <c r="A67" s="4">
        <f t="shared" si="5"/>
        <v>66</v>
      </c>
      <c r="B67" s="4" t="s">
        <v>294</v>
      </c>
      <c r="C67" s="4" t="s">
        <v>293</v>
      </c>
      <c r="D67" s="4" t="s">
        <v>8</v>
      </c>
      <c r="E67" s="4" t="s">
        <v>68</v>
      </c>
      <c r="F67" s="5">
        <v>2.5</v>
      </c>
      <c r="G67" s="10">
        <v>1.0</v>
      </c>
      <c r="H67" s="7"/>
      <c r="I67" s="12"/>
      <c r="J67" s="7"/>
      <c r="K67" s="7"/>
      <c r="L67" s="7"/>
      <c r="M67" s="7"/>
      <c r="N67" s="7"/>
      <c r="O67" s="7"/>
      <c r="P67" s="7"/>
      <c r="Q67" s="7"/>
      <c r="U67" s="8">
        <f t="shared" si="1"/>
        <v>2.5</v>
      </c>
      <c r="V67" s="8">
        <f t="shared" si="2"/>
        <v>34</v>
      </c>
      <c r="W67" s="8" t="str">
        <f t="shared" si="3"/>
        <v/>
      </c>
      <c r="X67" s="8" t="str">
        <f t="shared" si="4"/>
        <v>#N/A</v>
      </c>
    </row>
    <row r="68">
      <c r="A68" s="4">
        <f t="shared" si="5"/>
        <v>67</v>
      </c>
      <c r="B68" s="4" t="s">
        <v>281</v>
      </c>
      <c r="C68" s="4" t="s">
        <v>285</v>
      </c>
      <c r="D68" s="4" t="s">
        <v>8</v>
      </c>
      <c r="E68" s="4" t="s">
        <v>134</v>
      </c>
      <c r="F68" s="5">
        <v>2.4</v>
      </c>
      <c r="G68" s="10">
        <v>1.0</v>
      </c>
      <c r="H68" s="7"/>
      <c r="I68" s="7"/>
      <c r="J68" s="7"/>
      <c r="K68" s="7"/>
      <c r="L68" s="7"/>
      <c r="M68" s="7"/>
      <c r="N68" s="7"/>
      <c r="O68" s="7"/>
      <c r="P68" s="7"/>
      <c r="Q68" s="7"/>
      <c r="U68" s="8">
        <f t="shared" si="1"/>
        <v>2.4</v>
      </c>
      <c r="V68" s="8">
        <f t="shared" si="2"/>
        <v>36</v>
      </c>
      <c r="W68" s="8" t="str">
        <f t="shared" si="3"/>
        <v/>
      </c>
      <c r="X68" s="8" t="str">
        <f t="shared" si="4"/>
        <v>#N/A</v>
      </c>
    </row>
    <row r="69">
      <c r="A69" s="4">
        <f t="shared" si="5"/>
        <v>68</v>
      </c>
      <c r="B69" s="4" t="s">
        <v>286</v>
      </c>
      <c r="C69" s="4" t="s">
        <v>285</v>
      </c>
      <c r="D69" s="4" t="s">
        <v>8</v>
      </c>
      <c r="E69" s="4" t="s">
        <v>119</v>
      </c>
      <c r="F69" s="5">
        <v>2.0</v>
      </c>
      <c r="G69" s="10">
        <v>1.0</v>
      </c>
      <c r="H69" s="7"/>
      <c r="I69" s="7"/>
      <c r="J69" s="7"/>
      <c r="K69" s="7"/>
      <c r="L69" s="7"/>
      <c r="M69" s="7"/>
      <c r="N69" s="7"/>
      <c r="O69" s="7"/>
      <c r="P69" s="7"/>
      <c r="Q69" s="7"/>
      <c r="U69" s="8">
        <f t="shared" si="1"/>
        <v>2</v>
      </c>
      <c r="V69" s="8">
        <f t="shared" si="2"/>
        <v>46</v>
      </c>
      <c r="W69" s="8" t="str">
        <f t="shared" si="3"/>
        <v/>
      </c>
      <c r="X69" s="8" t="str">
        <f t="shared" si="4"/>
        <v>#N/A</v>
      </c>
    </row>
    <row r="70">
      <c r="A70" s="4">
        <f t="shared" si="5"/>
        <v>69</v>
      </c>
      <c r="B70" s="4" t="s">
        <v>293</v>
      </c>
      <c r="C70" s="4" t="s">
        <v>286</v>
      </c>
      <c r="D70" s="4" t="s">
        <v>8</v>
      </c>
      <c r="E70" s="4" t="s">
        <v>172</v>
      </c>
      <c r="F70" s="5">
        <v>1.9</v>
      </c>
      <c r="G70" s="10">
        <v>2.0</v>
      </c>
      <c r="H70" s="7"/>
      <c r="I70" s="7"/>
      <c r="J70" s="7"/>
      <c r="K70" s="7"/>
      <c r="L70" s="7"/>
      <c r="M70" s="7"/>
      <c r="N70" s="7"/>
      <c r="O70" s="7"/>
      <c r="P70" s="7"/>
      <c r="Q70" s="7"/>
      <c r="U70" s="8">
        <f t="shared" si="1"/>
        <v>1.9</v>
      </c>
      <c r="V70" s="8">
        <f t="shared" si="2"/>
        <v>47</v>
      </c>
      <c r="W70" s="8" t="str">
        <f t="shared" si="3"/>
        <v/>
      </c>
      <c r="X70" s="8" t="str">
        <f t="shared" si="4"/>
        <v>#N/A</v>
      </c>
    </row>
    <row r="71">
      <c r="A71" s="4">
        <f t="shared" si="5"/>
        <v>70</v>
      </c>
      <c r="B71" s="4" t="s">
        <v>274</v>
      </c>
      <c r="C71" s="4" t="s">
        <v>274</v>
      </c>
      <c r="D71" s="4" t="s">
        <v>8</v>
      </c>
      <c r="E71" s="4" t="s">
        <v>163</v>
      </c>
      <c r="F71" s="5">
        <v>1.5</v>
      </c>
      <c r="G71" s="10">
        <v>2.0</v>
      </c>
      <c r="H71" s="7"/>
      <c r="I71" s="7"/>
      <c r="J71" s="7"/>
      <c r="K71" s="7"/>
      <c r="L71" s="7"/>
      <c r="M71" s="7"/>
      <c r="N71" s="7"/>
      <c r="O71" s="7"/>
      <c r="P71" s="7"/>
      <c r="Q71" s="7"/>
      <c r="U71" s="8">
        <f t="shared" si="1"/>
        <v>1.5</v>
      </c>
      <c r="V71" s="8">
        <f t="shared" si="2"/>
        <v>56</v>
      </c>
      <c r="W71" s="8" t="str">
        <f t="shared" si="3"/>
        <v/>
      </c>
      <c r="X71" s="8" t="str">
        <f t="shared" si="4"/>
        <v>#N/A</v>
      </c>
    </row>
    <row r="72">
      <c r="A72" s="4">
        <f t="shared" si="5"/>
        <v>71</v>
      </c>
      <c r="B72" s="4" t="s">
        <v>273</v>
      </c>
      <c r="C72" s="4" t="s">
        <v>285</v>
      </c>
      <c r="D72" s="4" t="s">
        <v>8</v>
      </c>
      <c r="E72" s="4" t="s">
        <v>146</v>
      </c>
      <c r="F72" s="5">
        <v>3.0</v>
      </c>
      <c r="G72" s="10">
        <v>1.0</v>
      </c>
      <c r="H72" s="7"/>
      <c r="I72" s="7"/>
      <c r="J72" s="7"/>
      <c r="K72" s="7"/>
      <c r="L72" s="7"/>
      <c r="M72" s="7"/>
      <c r="N72" s="7"/>
      <c r="O72" s="7"/>
      <c r="P72" s="7"/>
      <c r="Q72" s="7"/>
      <c r="U72" s="8">
        <f t="shared" si="1"/>
        <v>3</v>
      </c>
      <c r="V72" s="8">
        <f t="shared" si="2"/>
        <v>27</v>
      </c>
      <c r="W72" s="8" t="str">
        <f t="shared" si="3"/>
        <v/>
      </c>
      <c r="X72" s="8" t="str">
        <f t="shared" si="4"/>
        <v>#N/A</v>
      </c>
    </row>
    <row r="73">
      <c r="A73" s="4">
        <f t="shared" si="5"/>
        <v>72</v>
      </c>
      <c r="B73" s="4" t="s">
        <v>280</v>
      </c>
      <c r="C73" s="4" t="s">
        <v>284</v>
      </c>
      <c r="D73" s="4" t="s">
        <v>8</v>
      </c>
      <c r="E73" s="4" t="s">
        <v>89</v>
      </c>
      <c r="F73" s="5">
        <v>3.8</v>
      </c>
      <c r="G73" s="10">
        <v>1.0</v>
      </c>
      <c r="H73" s="7"/>
      <c r="I73" s="7"/>
      <c r="J73" s="7"/>
      <c r="K73" s="7"/>
      <c r="L73" s="7"/>
      <c r="M73" s="7"/>
      <c r="N73" s="7"/>
      <c r="O73" s="7"/>
      <c r="P73" s="7"/>
      <c r="Q73" s="7"/>
      <c r="U73" s="8">
        <f t="shared" si="1"/>
        <v>3.8</v>
      </c>
      <c r="V73" s="8">
        <f t="shared" si="2"/>
        <v>19</v>
      </c>
      <c r="W73" s="8" t="str">
        <f t="shared" si="3"/>
        <v/>
      </c>
      <c r="X73" s="8" t="str">
        <f t="shared" si="4"/>
        <v>#N/A</v>
      </c>
    </row>
    <row r="74">
      <c r="A74" s="4">
        <f t="shared" si="5"/>
        <v>73</v>
      </c>
      <c r="B74" s="4" t="s">
        <v>285</v>
      </c>
      <c r="C74" s="4" t="s">
        <v>288</v>
      </c>
      <c r="D74" s="4" t="s">
        <v>8</v>
      </c>
      <c r="E74" s="4" t="s">
        <v>218</v>
      </c>
      <c r="F74" s="5">
        <v>3.3</v>
      </c>
      <c r="G74" s="10">
        <v>1.0</v>
      </c>
      <c r="H74" s="7"/>
      <c r="I74" s="7"/>
      <c r="J74" s="7"/>
      <c r="K74" s="7"/>
      <c r="L74" s="7"/>
      <c r="M74" s="7"/>
      <c r="N74" s="7"/>
      <c r="O74" s="7"/>
      <c r="P74" s="7"/>
      <c r="Q74" s="7"/>
      <c r="U74" s="8">
        <f t="shared" si="1"/>
        <v>3.3</v>
      </c>
      <c r="V74" s="8">
        <f t="shared" si="2"/>
        <v>24</v>
      </c>
      <c r="W74" s="8" t="str">
        <f t="shared" si="3"/>
        <v/>
      </c>
      <c r="X74" s="8" t="str">
        <f t="shared" si="4"/>
        <v>#N/A</v>
      </c>
    </row>
    <row r="75">
      <c r="A75" s="4">
        <f t="shared" si="5"/>
        <v>74</v>
      </c>
      <c r="B75" s="4" t="s">
        <v>288</v>
      </c>
      <c r="C75" s="4" t="s">
        <v>294</v>
      </c>
      <c r="D75" s="4" t="s">
        <v>8</v>
      </c>
      <c r="E75" s="4" t="s">
        <v>137</v>
      </c>
      <c r="F75" s="5">
        <v>2.1</v>
      </c>
      <c r="G75" s="10">
        <v>2.0</v>
      </c>
      <c r="H75" s="7"/>
      <c r="I75" s="7"/>
      <c r="J75" s="7"/>
      <c r="K75" s="7"/>
      <c r="L75" s="7"/>
      <c r="M75" s="7"/>
      <c r="N75" s="7"/>
      <c r="O75" s="7"/>
      <c r="P75" s="7"/>
      <c r="Q75" s="7"/>
      <c r="U75" s="8">
        <f t="shared" si="1"/>
        <v>2.1</v>
      </c>
      <c r="V75" s="8">
        <f t="shared" si="2"/>
        <v>42</v>
      </c>
      <c r="W75" s="8" t="str">
        <f t="shared" si="3"/>
        <v/>
      </c>
      <c r="X75" s="8" t="str">
        <f t="shared" si="4"/>
        <v>#N/A</v>
      </c>
    </row>
    <row r="76">
      <c r="A76" s="4">
        <f t="shared" si="5"/>
        <v>75</v>
      </c>
      <c r="B76" s="4" t="s">
        <v>284</v>
      </c>
      <c r="C76" s="4" t="s">
        <v>284</v>
      </c>
      <c r="D76" s="4" t="s">
        <v>8</v>
      </c>
      <c r="E76" s="4" t="s">
        <v>109</v>
      </c>
      <c r="F76" s="5">
        <v>2.3</v>
      </c>
      <c r="G76" s="10">
        <v>1.0</v>
      </c>
      <c r="H76" s="7"/>
      <c r="I76" s="7"/>
      <c r="J76" s="7"/>
      <c r="K76" s="7"/>
      <c r="L76" s="7"/>
      <c r="M76" s="7"/>
      <c r="N76" s="7"/>
      <c r="O76" s="7"/>
      <c r="P76" s="7"/>
      <c r="Q76" s="7"/>
      <c r="U76" s="8">
        <f t="shared" si="1"/>
        <v>2.3</v>
      </c>
      <c r="V76" s="8">
        <f t="shared" si="2"/>
        <v>37</v>
      </c>
      <c r="W76" s="8" t="str">
        <f t="shared" si="3"/>
        <v/>
      </c>
      <c r="X76" s="8" t="str">
        <f t="shared" si="4"/>
        <v>#N/A</v>
      </c>
    </row>
    <row r="77">
      <c r="A77" s="4">
        <f t="shared" si="5"/>
        <v>76</v>
      </c>
      <c r="B77" s="4" t="s">
        <v>287</v>
      </c>
      <c r="C77" s="4" t="s">
        <v>287</v>
      </c>
      <c r="D77" s="4" t="s">
        <v>8</v>
      </c>
      <c r="E77" s="4" t="s">
        <v>317</v>
      </c>
      <c r="F77" s="5">
        <v>1.7</v>
      </c>
      <c r="G77" s="10">
        <v>1.0</v>
      </c>
      <c r="H77" s="7"/>
      <c r="I77" s="7"/>
      <c r="J77" s="7"/>
      <c r="K77" s="7"/>
      <c r="L77" s="7"/>
      <c r="M77" s="7"/>
      <c r="N77" s="7"/>
      <c r="O77" s="7"/>
      <c r="P77" s="7"/>
      <c r="Q77" s="7"/>
      <c r="U77" s="8">
        <f t="shared" si="1"/>
        <v>1.7</v>
      </c>
      <c r="V77" s="8">
        <f t="shared" si="2"/>
        <v>53</v>
      </c>
      <c r="W77" s="8" t="str">
        <f t="shared" si="3"/>
        <v/>
      </c>
      <c r="X77" s="8" t="str">
        <f t="shared" si="4"/>
        <v>#N/A</v>
      </c>
    </row>
    <row r="78">
      <c r="A78" s="4">
        <f t="shared" si="5"/>
        <v>77</v>
      </c>
      <c r="B78" s="4" t="s">
        <v>294</v>
      </c>
      <c r="C78" s="4" t="s">
        <v>294</v>
      </c>
      <c r="D78" s="4" t="s">
        <v>8</v>
      </c>
      <c r="E78" s="4" t="s">
        <v>318</v>
      </c>
      <c r="F78" s="5">
        <v>2.2</v>
      </c>
      <c r="G78" s="10">
        <v>1.0</v>
      </c>
      <c r="H78" s="7"/>
      <c r="I78" s="7"/>
      <c r="J78" s="7"/>
      <c r="K78" s="7"/>
      <c r="L78" s="7"/>
      <c r="M78" s="7"/>
      <c r="N78" s="7"/>
      <c r="O78" s="7"/>
      <c r="P78" s="7"/>
      <c r="Q78" s="7"/>
      <c r="U78" s="8">
        <f t="shared" si="1"/>
        <v>2.2</v>
      </c>
      <c r="V78" s="8">
        <f t="shared" si="2"/>
        <v>40</v>
      </c>
      <c r="W78" s="8" t="str">
        <f t="shared" si="3"/>
        <v/>
      </c>
      <c r="X78" s="8" t="str">
        <f t="shared" si="4"/>
        <v>#N/A</v>
      </c>
    </row>
    <row r="79">
      <c r="A79" s="4">
        <f t="shared" si="5"/>
        <v>78</v>
      </c>
      <c r="B79" s="4" t="s">
        <v>281</v>
      </c>
      <c r="C79" s="4" t="s">
        <v>280</v>
      </c>
      <c r="D79" s="4" t="s">
        <v>8</v>
      </c>
      <c r="E79" s="4" t="s">
        <v>40</v>
      </c>
      <c r="F79" s="5">
        <v>2.8</v>
      </c>
      <c r="G79" s="10">
        <v>1.0</v>
      </c>
      <c r="H79" s="7"/>
      <c r="I79" s="7"/>
      <c r="J79" s="7"/>
      <c r="K79" s="7"/>
      <c r="L79" s="7"/>
      <c r="M79" s="7"/>
      <c r="N79" s="7"/>
      <c r="O79" s="7"/>
      <c r="P79" s="7"/>
      <c r="Q79" s="7"/>
      <c r="U79" s="8">
        <f t="shared" si="1"/>
        <v>2.8</v>
      </c>
      <c r="V79" s="8">
        <f t="shared" si="2"/>
        <v>28</v>
      </c>
      <c r="W79" s="8" t="str">
        <f t="shared" si="3"/>
        <v/>
      </c>
      <c r="X79" s="8" t="str">
        <f t="shared" si="4"/>
        <v>#N/A</v>
      </c>
    </row>
    <row r="80">
      <c r="A80" s="4">
        <f t="shared" si="5"/>
        <v>79</v>
      </c>
      <c r="B80" s="4" t="s">
        <v>286</v>
      </c>
      <c r="C80" s="4" t="s">
        <v>284</v>
      </c>
      <c r="D80" s="4" t="s">
        <v>8</v>
      </c>
      <c r="E80" s="4" t="s">
        <v>125</v>
      </c>
      <c r="F80" s="5">
        <v>1.2</v>
      </c>
      <c r="G80" s="10">
        <v>2.0</v>
      </c>
      <c r="H80" s="7"/>
      <c r="I80" s="7"/>
      <c r="J80" s="7"/>
      <c r="K80" s="7"/>
      <c r="L80" s="7"/>
      <c r="M80" s="7"/>
      <c r="N80" s="7"/>
      <c r="O80" s="7"/>
      <c r="P80" s="7"/>
      <c r="Q80" s="7"/>
      <c r="U80" s="8">
        <f t="shared" si="1"/>
        <v>1.2</v>
      </c>
      <c r="V80" s="8">
        <f t="shared" si="2"/>
        <v>65</v>
      </c>
      <c r="W80" s="8" t="str">
        <f t="shared" si="3"/>
        <v/>
      </c>
      <c r="X80" s="8" t="str">
        <f t="shared" si="4"/>
        <v>#N/A</v>
      </c>
    </row>
    <row r="81">
      <c r="A81" s="4">
        <f t="shared" si="5"/>
        <v>80</v>
      </c>
      <c r="B81" s="4" t="s">
        <v>293</v>
      </c>
      <c r="C81" s="4" t="s">
        <v>287</v>
      </c>
      <c r="D81" s="4" t="s">
        <v>8</v>
      </c>
      <c r="E81" s="4" t="s">
        <v>319</v>
      </c>
      <c r="F81" s="5">
        <v>1.4</v>
      </c>
      <c r="G81" s="10">
        <v>4.0</v>
      </c>
      <c r="H81" s="7"/>
      <c r="I81" s="7"/>
      <c r="J81" s="7"/>
      <c r="K81" s="7"/>
      <c r="L81" s="7"/>
      <c r="M81" s="7"/>
      <c r="N81" s="7"/>
      <c r="O81" s="7"/>
      <c r="P81" s="7"/>
      <c r="Q81" s="7"/>
      <c r="U81" s="8">
        <f t="shared" si="1"/>
        <v>1.4</v>
      </c>
      <c r="V81" s="8">
        <f t="shared" si="2"/>
        <v>58</v>
      </c>
      <c r="W81" s="8" t="str">
        <f t="shared" si="3"/>
        <v/>
      </c>
      <c r="X81" s="8" t="str">
        <f t="shared" si="4"/>
        <v>#N/A</v>
      </c>
    </row>
    <row r="82">
      <c r="A82" s="4">
        <f t="shared" si="5"/>
        <v>81</v>
      </c>
      <c r="B82" s="4" t="s">
        <v>274</v>
      </c>
      <c r="C82" s="4" t="s">
        <v>281</v>
      </c>
      <c r="D82" s="4" t="s">
        <v>8</v>
      </c>
      <c r="E82" s="4" t="s">
        <v>320</v>
      </c>
      <c r="F82" s="5">
        <v>2.6</v>
      </c>
      <c r="G82" s="10">
        <v>1.0</v>
      </c>
      <c r="H82" s="7"/>
      <c r="I82" s="7"/>
      <c r="J82" s="7"/>
      <c r="K82" s="7"/>
      <c r="L82" s="7"/>
      <c r="M82" s="7"/>
      <c r="N82" s="7"/>
      <c r="O82" s="7"/>
      <c r="P82" s="7"/>
      <c r="Q82" s="7"/>
      <c r="U82" s="8">
        <f t="shared" si="1"/>
        <v>2.6</v>
      </c>
      <c r="V82" s="8">
        <f t="shared" si="2"/>
        <v>31</v>
      </c>
      <c r="W82" s="8" t="str">
        <f t="shared" si="3"/>
        <v/>
      </c>
      <c r="X82" s="8" t="str">
        <f t="shared" si="4"/>
        <v>#N/A</v>
      </c>
    </row>
    <row r="83">
      <c r="A83" s="4">
        <f t="shared" si="5"/>
        <v>82</v>
      </c>
      <c r="B83" s="4" t="s">
        <v>273</v>
      </c>
      <c r="C83" s="4" t="s">
        <v>280</v>
      </c>
      <c r="D83" s="4" t="s">
        <v>8</v>
      </c>
      <c r="E83" s="4" t="s">
        <v>70</v>
      </c>
      <c r="F83" s="5">
        <v>2.2</v>
      </c>
      <c r="G83" s="10">
        <v>1.0</v>
      </c>
      <c r="H83" s="7"/>
      <c r="I83" s="7"/>
      <c r="J83" s="7"/>
      <c r="K83" s="7"/>
      <c r="L83" s="7"/>
      <c r="M83" s="7"/>
      <c r="N83" s="7"/>
      <c r="O83" s="7"/>
      <c r="P83" s="7"/>
      <c r="Q83" s="7"/>
      <c r="U83" s="8">
        <f t="shared" si="1"/>
        <v>2.2</v>
      </c>
      <c r="V83" s="8">
        <f t="shared" si="2"/>
        <v>40</v>
      </c>
      <c r="W83" s="8" t="str">
        <f t="shared" si="3"/>
        <v/>
      </c>
      <c r="X83" s="8" t="str">
        <f t="shared" si="4"/>
        <v>#N/A</v>
      </c>
    </row>
    <row r="84">
      <c r="A84" s="4">
        <f t="shared" si="5"/>
        <v>83</v>
      </c>
      <c r="B84" s="4" t="s">
        <v>280</v>
      </c>
      <c r="C84" s="4" t="s">
        <v>285</v>
      </c>
      <c r="D84" s="4" t="s">
        <v>8</v>
      </c>
      <c r="E84" s="4" t="s">
        <v>321</v>
      </c>
      <c r="F84" s="5">
        <v>1.2</v>
      </c>
      <c r="G84" s="10">
        <v>1.0</v>
      </c>
      <c r="H84" s="7"/>
      <c r="I84" s="7"/>
      <c r="J84" s="7"/>
      <c r="K84" s="7"/>
      <c r="L84" s="7"/>
      <c r="M84" s="7"/>
      <c r="N84" s="7"/>
      <c r="O84" s="7"/>
      <c r="P84" s="7"/>
      <c r="Q84" s="7"/>
      <c r="U84" s="8">
        <f t="shared" si="1"/>
        <v>1.2</v>
      </c>
      <c r="V84" s="8">
        <f t="shared" si="2"/>
        <v>65</v>
      </c>
      <c r="W84" s="8" t="str">
        <f t="shared" si="3"/>
        <v/>
      </c>
      <c r="X84" s="8" t="str">
        <f t="shared" si="4"/>
        <v>#N/A</v>
      </c>
    </row>
    <row r="85">
      <c r="A85" s="4">
        <f t="shared" si="5"/>
        <v>84</v>
      </c>
      <c r="B85" s="4" t="s">
        <v>285</v>
      </c>
      <c r="C85" s="4" t="s">
        <v>286</v>
      </c>
      <c r="D85" s="4" t="s">
        <v>8</v>
      </c>
      <c r="E85" s="4" t="s">
        <v>132</v>
      </c>
      <c r="F85" s="5">
        <v>1.4</v>
      </c>
      <c r="G85" s="10">
        <v>1.0</v>
      </c>
      <c r="H85" s="7"/>
      <c r="I85" s="7"/>
      <c r="J85" s="7"/>
      <c r="K85" s="7"/>
      <c r="L85" s="7"/>
      <c r="M85" s="7"/>
      <c r="N85" s="7"/>
      <c r="O85" s="7"/>
      <c r="P85" s="7"/>
      <c r="Q85" s="7"/>
      <c r="U85" s="8">
        <f t="shared" si="1"/>
        <v>1.4</v>
      </c>
      <c r="V85" s="8">
        <f t="shared" si="2"/>
        <v>58</v>
      </c>
      <c r="W85" s="8" t="str">
        <f t="shared" si="3"/>
        <v/>
      </c>
      <c r="X85" s="8" t="str">
        <f t="shared" si="4"/>
        <v>#N/A</v>
      </c>
    </row>
    <row r="86">
      <c r="A86" s="4">
        <f t="shared" si="5"/>
        <v>85</v>
      </c>
      <c r="B86" s="4" t="s">
        <v>288</v>
      </c>
      <c r="C86" s="4" t="s">
        <v>286</v>
      </c>
      <c r="D86" s="4" t="s">
        <v>8</v>
      </c>
      <c r="E86" s="4" t="s">
        <v>322</v>
      </c>
      <c r="F86" s="5">
        <v>1.1</v>
      </c>
      <c r="G86" s="10">
        <v>2.0</v>
      </c>
      <c r="H86" s="7"/>
      <c r="I86" s="7"/>
      <c r="J86" s="7"/>
      <c r="K86" s="7"/>
      <c r="L86" s="7"/>
      <c r="M86" s="7"/>
      <c r="N86" s="7"/>
      <c r="O86" s="7"/>
      <c r="P86" s="7"/>
      <c r="Q86" s="7"/>
      <c r="U86" s="8">
        <f t="shared" si="1"/>
        <v>1.1</v>
      </c>
      <c r="V86" s="8">
        <f t="shared" si="2"/>
        <v>71</v>
      </c>
      <c r="W86" s="8" t="str">
        <f t="shared" si="3"/>
        <v/>
      </c>
      <c r="X86" s="8" t="str">
        <f t="shared" si="4"/>
        <v>#N/A</v>
      </c>
    </row>
    <row r="87">
      <c r="A87" s="4">
        <f t="shared" si="5"/>
        <v>86</v>
      </c>
      <c r="B87" s="4" t="s">
        <v>284</v>
      </c>
      <c r="C87" s="4" t="s">
        <v>294</v>
      </c>
      <c r="D87" s="4" t="s">
        <v>8</v>
      </c>
      <c r="E87" s="4" t="s">
        <v>246</v>
      </c>
      <c r="F87" s="5">
        <v>1.5</v>
      </c>
      <c r="G87" s="10">
        <v>1.0</v>
      </c>
      <c r="H87" s="7"/>
      <c r="I87" s="7"/>
      <c r="J87" s="7"/>
      <c r="K87" s="7"/>
      <c r="L87" s="7"/>
      <c r="M87" s="7"/>
      <c r="N87" s="7"/>
      <c r="O87" s="7"/>
      <c r="P87" s="7"/>
      <c r="Q87" s="7"/>
      <c r="U87" s="8">
        <f t="shared" si="1"/>
        <v>1.5</v>
      </c>
      <c r="V87" s="8">
        <f t="shared" si="2"/>
        <v>56</v>
      </c>
      <c r="W87" s="8" t="str">
        <f t="shared" si="3"/>
        <v/>
      </c>
      <c r="X87" s="8" t="str">
        <f t="shared" si="4"/>
        <v>#N/A</v>
      </c>
    </row>
    <row r="88">
      <c r="A88" s="4">
        <f t="shared" si="5"/>
        <v>87</v>
      </c>
      <c r="B88" s="4" t="s">
        <v>287</v>
      </c>
      <c r="C88" s="4" t="s">
        <v>274</v>
      </c>
      <c r="D88" s="4" t="s">
        <v>8</v>
      </c>
      <c r="E88" s="4" t="s">
        <v>259</v>
      </c>
      <c r="F88" s="5">
        <v>0.8</v>
      </c>
      <c r="G88" s="10">
        <v>1.0</v>
      </c>
      <c r="H88" s="7"/>
      <c r="I88" s="7"/>
      <c r="J88" s="7"/>
      <c r="K88" s="7"/>
      <c r="L88" s="7"/>
      <c r="M88" s="7"/>
      <c r="N88" s="7"/>
      <c r="O88" s="7"/>
      <c r="P88" s="7"/>
      <c r="Q88" s="7"/>
      <c r="U88" s="8">
        <f t="shared" si="1"/>
        <v>0.8</v>
      </c>
      <c r="V88" s="8">
        <f t="shared" si="2"/>
        <v>93</v>
      </c>
      <c r="W88" s="8" t="str">
        <f t="shared" si="3"/>
        <v/>
      </c>
      <c r="X88" s="8" t="str">
        <f t="shared" si="4"/>
        <v>#N/A</v>
      </c>
    </row>
    <row r="89">
      <c r="A89" s="4">
        <f t="shared" si="5"/>
        <v>88</v>
      </c>
      <c r="B89" s="4" t="s">
        <v>294</v>
      </c>
      <c r="C89" s="4" t="s">
        <v>284</v>
      </c>
      <c r="D89" s="4" t="s">
        <v>8</v>
      </c>
      <c r="E89" s="4" t="s">
        <v>82</v>
      </c>
      <c r="F89" s="5">
        <v>2.1</v>
      </c>
      <c r="G89" s="10">
        <v>1.0</v>
      </c>
      <c r="H89" s="7"/>
      <c r="I89" s="7"/>
      <c r="J89" s="7"/>
      <c r="K89" s="7"/>
      <c r="L89" s="7"/>
      <c r="M89" s="7"/>
      <c r="N89" s="7"/>
      <c r="O89" s="7"/>
      <c r="P89" s="7"/>
      <c r="Q89" s="7"/>
      <c r="U89" s="8">
        <f t="shared" si="1"/>
        <v>2.1</v>
      </c>
      <c r="V89" s="8">
        <f t="shared" si="2"/>
        <v>42</v>
      </c>
      <c r="W89" s="8" t="str">
        <f t="shared" si="3"/>
        <v/>
      </c>
      <c r="X89" s="8" t="str">
        <f t="shared" si="4"/>
        <v>#N/A</v>
      </c>
    </row>
    <row r="90">
      <c r="A90" s="4">
        <f t="shared" si="5"/>
        <v>89</v>
      </c>
      <c r="B90" s="4" t="s">
        <v>281</v>
      </c>
      <c r="C90" s="4" t="s">
        <v>274</v>
      </c>
      <c r="D90" s="4" t="s">
        <v>8</v>
      </c>
      <c r="E90" s="4" t="s">
        <v>140</v>
      </c>
      <c r="F90" s="5">
        <v>1.9</v>
      </c>
      <c r="G90" s="10">
        <v>1.0</v>
      </c>
      <c r="H90" s="7"/>
      <c r="I90" s="7"/>
      <c r="J90" s="7"/>
      <c r="K90" s="7"/>
      <c r="L90" s="7"/>
      <c r="M90" s="7"/>
      <c r="N90" s="7"/>
      <c r="O90" s="7"/>
      <c r="P90" s="7"/>
      <c r="Q90" s="7"/>
      <c r="U90" s="8">
        <f t="shared" si="1"/>
        <v>1.9</v>
      </c>
      <c r="V90" s="8">
        <f t="shared" si="2"/>
        <v>47</v>
      </c>
      <c r="W90" s="8" t="str">
        <f t="shared" si="3"/>
        <v/>
      </c>
      <c r="X90" s="8" t="str">
        <f t="shared" si="4"/>
        <v>#N/A</v>
      </c>
    </row>
    <row r="91">
      <c r="A91" s="4">
        <f t="shared" si="5"/>
        <v>90</v>
      </c>
      <c r="B91" s="4" t="s">
        <v>286</v>
      </c>
      <c r="C91" s="4" t="s">
        <v>287</v>
      </c>
      <c r="D91" s="4" t="s">
        <v>8</v>
      </c>
      <c r="E91" s="4" t="s">
        <v>323</v>
      </c>
      <c r="F91" s="5">
        <v>1.1</v>
      </c>
      <c r="G91" s="10">
        <v>1.0</v>
      </c>
      <c r="H91" s="7"/>
      <c r="I91" s="7"/>
      <c r="J91" s="7"/>
      <c r="K91" s="7"/>
      <c r="L91" s="7"/>
      <c r="M91" s="7"/>
      <c r="N91" s="7"/>
      <c r="O91" s="7"/>
      <c r="P91" s="7"/>
      <c r="Q91" s="7"/>
      <c r="U91" s="8">
        <f t="shared" si="1"/>
        <v>1.1</v>
      </c>
      <c r="V91" s="8">
        <f t="shared" si="2"/>
        <v>71</v>
      </c>
      <c r="W91" s="8" t="str">
        <f t="shared" si="3"/>
        <v/>
      </c>
      <c r="X91" s="8" t="str">
        <f t="shared" si="4"/>
        <v>#N/A</v>
      </c>
    </row>
    <row r="92">
      <c r="A92" s="4">
        <f t="shared" si="5"/>
        <v>91</v>
      </c>
      <c r="B92" s="4" t="s">
        <v>293</v>
      </c>
      <c r="C92" s="4" t="s">
        <v>293</v>
      </c>
      <c r="D92" s="4" t="s">
        <v>8</v>
      </c>
      <c r="E92" s="4" t="s">
        <v>324</v>
      </c>
      <c r="F92" s="5">
        <v>0.7</v>
      </c>
      <c r="G92" s="10">
        <v>1.0</v>
      </c>
      <c r="H92" s="7"/>
      <c r="I92" s="7"/>
      <c r="J92" s="7"/>
      <c r="K92" s="7"/>
      <c r="L92" s="7"/>
      <c r="M92" s="7"/>
      <c r="N92" s="7"/>
      <c r="O92" s="7"/>
      <c r="P92" s="7"/>
      <c r="Q92" s="7"/>
      <c r="U92" s="8">
        <f t="shared" si="1"/>
        <v>0.7</v>
      </c>
      <c r="V92" s="8">
        <f t="shared" si="2"/>
        <v>98</v>
      </c>
      <c r="W92" s="8" t="str">
        <f t="shared" si="3"/>
        <v/>
      </c>
      <c r="X92" s="8" t="str">
        <f t="shared" si="4"/>
        <v>#N/A</v>
      </c>
    </row>
    <row r="93">
      <c r="A93" s="4">
        <f t="shared" si="5"/>
        <v>92</v>
      </c>
      <c r="B93" s="4" t="s">
        <v>274</v>
      </c>
      <c r="C93" s="4" t="s">
        <v>274</v>
      </c>
      <c r="D93" s="4" t="s">
        <v>8</v>
      </c>
      <c r="E93" s="4" t="s">
        <v>145</v>
      </c>
      <c r="F93" s="5">
        <v>1.2</v>
      </c>
      <c r="G93" s="10">
        <v>1.0</v>
      </c>
      <c r="H93" s="7"/>
      <c r="I93" s="7"/>
      <c r="J93" s="7"/>
      <c r="K93" s="7"/>
      <c r="L93" s="7"/>
      <c r="M93" s="7"/>
      <c r="N93" s="7"/>
      <c r="O93" s="7"/>
      <c r="P93" s="7"/>
      <c r="Q93" s="7"/>
      <c r="U93" s="8">
        <f t="shared" si="1"/>
        <v>1.2</v>
      </c>
      <c r="V93" s="8">
        <f t="shared" si="2"/>
        <v>65</v>
      </c>
      <c r="W93" s="8" t="str">
        <f t="shared" si="3"/>
        <v/>
      </c>
      <c r="X93" s="8" t="str">
        <f t="shared" si="4"/>
        <v>#N/A</v>
      </c>
    </row>
    <row r="94">
      <c r="A94" s="4">
        <f t="shared" si="5"/>
        <v>93</v>
      </c>
      <c r="B94" s="4" t="s">
        <v>273</v>
      </c>
      <c r="C94" s="4" t="s">
        <v>287</v>
      </c>
      <c r="D94" s="4" t="s">
        <v>8</v>
      </c>
      <c r="E94" s="4" t="s">
        <v>325</v>
      </c>
      <c r="F94" s="5">
        <v>1.0</v>
      </c>
      <c r="G94" s="10">
        <v>3.0</v>
      </c>
      <c r="H94" s="7"/>
      <c r="I94" s="7"/>
      <c r="J94" s="7"/>
      <c r="K94" s="7"/>
      <c r="L94" s="7"/>
      <c r="M94" s="7"/>
      <c r="N94" s="7"/>
      <c r="O94" s="7"/>
      <c r="P94" s="7"/>
      <c r="Q94" s="7"/>
      <c r="U94" s="8">
        <f t="shared" si="1"/>
        <v>1</v>
      </c>
      <c r="V94" s="8">
        <f t="shared" si="2"/>
        <v>80</v>
      </c>
      <c r="W94" s="8" t="str">
        <f t="shared" si="3"/>
        <v/>
      </c>
      <c r="X94" s="8" t="str">
        <f t="shared" si="4"/>
        <v>#N/A</v>
      </c>
    </row>
    <row r="95">
      <c r="A95" s="4">
        <f t="shared" si="5"/>
        <v>94</v>
      </c>
      <c r="B95" s="4" t="s">
        <v>280</v>
      </c>
      <c r="C95" s="4" t="s">
        <v>286</v>
      </c>
      <c r="D95" s="4" t="s">
        <v>8</v>
      </c>
      <c r="E95" s="4" t="s">
        <v>326</v>
      </c>
      <c r="F95" s="5">
        <v>0.6</v>
      </c>
      <c r="G95" s="10">
        <v>1.0</v>
      </c>
      <c r="H95" s="7"/>
      <c r="I95" s="7"/>
      <c r="J95" s="7"/>
      <c r="K95" s="7"/>
      <c r="L95" s="7"/>
      <c r="M95" s="7"/>
      <c r="N95" s="7"/>
      <c r="O95" s="7"/>
      <c r="P95" s="7"/>
      <c r="Q95" s="7"/>
      <c r="U95" s="8">
        <f t="shared" si="1"/>
        <v>0.6</v>
      </c>
      <c r="V95" s="8">
        <f t="shared" si="2"/>
        <v>112</v>
      </c>
      <c r="W95" s="8" t="str">
        <f t="shared" si="3"/>
        <v/>
      </c>
      <c r="X95" s="8" t="str">
        <f t="shared" si="4"/>
        <v>#N/A</v>
      </c>
    </row>
    <row r="96">
      <c r="A96" s="4">
        <f t="shared" si="5"/>
        <v>95</v>
      </c>
      <c r="B96" s="4" t="s">
        <v>285</v>
      </c>
      <c r="C96" s="4" t="s">
        <v>286</v>
      </c>
      <c r="D96" s="4" t="s">
        <v>8</v>
      </c>
      <c r="E96" s="4" t="s">
        <v>255</v>
      </c>
      <c r="F96" s="5">
        <v>1.3</v>
      </c>
      <c r="G96" s="10">
        <v>1.0</v>
      </c>
      <c r="H96" s="7"/>
      <c r="I96" s="7"/>
      <c r="J96" s="7"/>
      <c r="K96" s="7"/>
      <c r="L96" s="7"/>
      <c r="M96" s="7"/>
      <c r="N96" s="7"/>
      <c r="O96" s="7"/>
      <c r="P96" s="7"/>
      <c r="Q96" s="7"/>
      <c r="U96" s="8">
        <f t="shared" si="1"/>
        <v>1.3</v>
      </c>
      <c r="V96" s="8">
        <f t="shared" si="2"/>
        <v>62</v>
      </c>
      <c r="W96" s="8" t="str">
        <f t="shared" si="3"/>
        <v/>
      </c>
      <c r="X96" s="8" t="str">
        <f t="shared" si="4"/>
        <v>#N/A</v>
      </c>
    </row>
    <row r="97">
      <c r="A97" s="4">
        <f t="shared" si="5"/>
        <v>96</v>
      </c>
      <c r="B97" s="4" t="s">
        <v>288</v>
      </c>
      <c r="C97" s="4" t="s">
        <v>274</v>
      </c>
      <c r="D97" s="4" t="s">
        <v>8</v>
      </c>
      <c r="E97" s="4" t="s">
        <v>102</v>
      </c>
      <c r="F97" s="5">
        <v>0.9</v>
      </c>
      <c r="G97" s="10">
        <v>1.0</v>
      </c>
      <c r="H97" s="7"/>
      <c r="I97" s="7"/>
      <c r="J97" s="7"/>
      <c r="K97" s="7"/>
      <c r="L97" s="7"/>
      <c r="M97" s="7"/>
      <c r="N97" s="7"/>
      <c r="O97" s="7"/>
      <c r="P97" s="7"/>
      <c r="Q97" s="7"/>
      <c r="U97" s="8">
        <f t="shared" si="1"/>
        <v>0.9</v>
      </c>
      <c r="V97" s="8">
        <f t="shared" si="2"/>
        <v>85</v>
      </c>
      <c r="W97" s="8" t="str">
        <f t="shared" si="3"/>
        <v/>
      </c>
      <c r="X97" s="8" t="str">
        <f t="shared" si="4"/>
        <v>#N/A</v>
      </c>
    </row>
    <row r="98">
      <c r="A98" s="4">
        <f t="shared" si="5"/>
        <v>97</v>
      </c>
      <c r="B98" s="4" t="s">
        <v>284</v>
      </c>
      <c r="C98" s="4" t="s">
        <v>284</v>
      </c>
      <c r="D98" s="4" t="s">
        <v>8</v>
      </c>
      <c r="E98" s="4" t="s">
        <v>230</v>
      </c>
      <c r="F98" s="5">
        <v>1.2</v>
      </c>
      <c r="G98" s="10">
        <v>1.0</v>
      </c>
      <c r="H98" s="7"/>
      <c r="I98" s="7"/>
      <c r="J98" s="7"/>
      <c r="K98" s="7"/>
      <c r="L98" s="7"/>
      <c r="M98" s="7"/>
      <c r="N98" s="7"/>
      <c r="O98" s="7"/>
      <c r="P98" s="7"/>
      <c r="Q98" s="7"/>
      <c r="U98" s="8">
        <f t="shared" si="1"/>
        <v>1.2</v>
      </c>
      <c r="V98" s="8">
        <f t="shared" si="2"/>
        <v>65</v>
      </c>
      <c r="W98" s="8" t="str">
        <f t="shared" si="3"/>
        <v/>
      </c>
      <c r="X98" s="8" t="str">
        <f t="shared" si="4"/>
        <v>#N/A</v>
      </c>
    </row>
    <row r="99">
      <c r="A99" s="4">
        <f t="shared" si="5"/>
        <v>98</v>
      </c>
      <c r="B99" s="4" t="s">
        <v>287</v>
      </c>
      <c r="C99" s="4" t="s">
        <v>280</v>
      </c>
      <c r="D99" s="4" t="s">
        <v>8</v>
      </c>
      <c r="E99" s="4" t="s">
        <v>78</v>
      </c>
      <c r="F99" s="5">
        <v>0.9</v>
      </c>
      <c r="G99" s="10">
        <v>1.0</v>
      </c>
      <c r="H99" s="7"/>
      <c r="I99" s="7"/>
      <c r="J99" s="7"/>
      <c r="K99" s="7"/>
      <c r="L99" s="7"/>
      <c r="M99" s="7"/>
      <c r="N99" s="7"/>
      <c r="O99" s="7"/>
      <c r="P99" s="7"/>
      <c r="Q99" s="7"/>
      <c r="U99" s="8">
        <f t="shared" si="1"/>
        <v>0.9</v>
      </c>
      <c r="V99" s="8">
        <f t="shared" si="2"/>
        <v>85</v>
      </c>
      <c r="W99" s="8" t="str">
        <f t="shared" si="3"/>
        <v/>
      </c>
      <c r="X99" s="8" t="str">
        <f t="shared" si="4"/>
        <v>#N/A</v>
      </c>
    </row>
    <row r="100">
      <c r="A100" s="4">
        <f t="shared" si="5"/>
        <v>99</v>
      </c>
      <c r="B100" s="4" t="s">
        <v>294</v>
      </c>
      <c r="C100" s="4" t="s">
        <v>284</v>
      </c>
      <c r="D100" s="4" t="s">
        <v>8</v>
      </c>
      <c r="E100" s="4" t="s">
        <v>327</v>
      </c>
      <c r="F100" s="5">
        <v>1.2</v>
      </c>
      <c r="G100" s="10">
        <v>1.0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U100" s="8">
        <f t="shared" si="1"/>
        <v>1.2</v>
      </c>
      <c r="V100" s="8">
        <f t="shared" si="2"/>
        <v>65</v>
      </c>
      <c r="W100" s="8" t="str">
        <f t="shared" si="3"/>
        <v/>
      </c>
      <c r="X100" s="8" t="str">
        <f t="shared" si="4"/>
        <v>#N/A</v>
      </c>
    </row>
    <row r="101">
      <c r="A101" s="4">
        <f t="shared" si="5"/>
        <v>100</v>
      </c>
      <c r="B101" s="4" t="s">
        <v>281</v>
      </c>
      <c r="C101" s="4" t="s">
        <v>294</v>
      </c>
      <c r="D101" s="4" t="s">
        <v>8</v>
      </c>
      <c r="E101" s="4" t="s">
        <v>207</v>
      </c>
      <c r="F101" s="5">
        <v>1.1</v>
      </c>
      <c r="G101" s="10">
        <v>1.0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U101" s="8">
        <f t="shared" si="1"/>
        <v>1.1</v>
      </c>
      <c r="V101" s="8">
        <f t="shared" si="2"/>
        <v>71</v>
      </c>
      <c r="W101" s="8" t="str">
        <f t="shared" si="3"/>
        <v/>
      </c>
      <c r="X101" s="8" t="str">
        <f t="shared" si="4"/>
        <v>#N/A</v>
      </c>
    </row>
    <row r="102">
      <c r="A102" s="4">
        <f t="shared" si="5"/>
        <v>101</v>
      </c>
      <c r="B102" s="4" t="s">
        <v>286</v>
      </c>
      <c r="C102" s="4" t="s">
        <v>286</v>
      </c>
      <c r="D102" s="4" t="s">
        <v>8</v>
      </c>
      <c r="E102" s="4" t="s">
        <v>117</v>
      </c>
      <c r="F102" s="5">
        <v>1.4</v>
      </c>
      <c r="G102" s="10">
        <v>1.0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U102" s="8">
        <f t="shared" si="1"/>
        <v>1.4</v>
      </c>
      <c r="V102" s="8">
        <f t="shared" si="2"/>
        <v>58</v>
      </c>
      <c r="W102" s="8" t="str">
        <f t="shared" si="3"/>
        <v/>
      </c>
      <c r="X102" s="8" t="str">
        <f t="shared" si="4"/>
        <v>#N/A</v>
      </c>
    </row>
    <row r="103">
      <c r="A103" s="4">
        <f t="shared" si="5"/>
        <v>102</v>
      </c>
      <c r="B103" s="4" t="s">
        <v>293</v>
      </c>
      <c r="C103" s="4" t="s">
        <v>281</v>
      </c>
      <c r="D103" s="4" t="s">
        <v>8</v>
      </c>
      <c r="E103" s="4" t="s">
        <v>267</v>
      </c>
      <c r="F103" s="5">
        <v>0.9</v>
      </c>
      <c r="G103" s="10">
        <v>1.0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U103" s="8">
        <f t="shared" si="1"/>
        <v>0.9</v>
      </c>
      <c r="V103" s="8">
        <f t="shared" si="2"/>
        <v>85</v>
      </c>
      <c r="W103" s="8" t="str">
        <f t="shared" si="3"/>
        <v/>
      </c>
      <c r="X103" s="8" t="str">
        <f t="shared" si="4"/>
        <v>#N/A</v>
      </c>
    </row>
    <row r="104">
      <c r="A104" s="4">
        <f t="shared" si="5"/>
        <v>103</v>
      </c>
      <c r="B104" s="4" t="s">
        <v>274</v>
      </c>
      <c r="C104" s="4" t="s">
        <v>280</v>
      </c>
      <c r="D104" s="4" t="s">
        <v>8</v>
      </c>
      <c r="E104" s="4" t="s">
        <v>161</v>
      </c>
      <c r="F104" s="5">
        <v>1.4</v>
      </c>
      <c r="G104" s="10">
        <v>1.0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U104" s="8">
        <f t="shared" si="1"/>
        <v>1.4</v>
      </c>
      <c r="V104" s="8">
        <f t="shared" si="2"/>
        <v>58</v>
      </c>
      <c r="W104" s="8" t="str">
        <f t="shared" si="3"/>
        <v/>
      </c>
      <c r="X104" s="8" t="str">
        <f t="shared" si="4"/>
        <v>#N/A</v>
      </c>
    </row>
    <row r="105">
      <c r="A105" s="4">
        <f t="shared" si="5"/>
        <v>104</v>
      </c>
      <c r="B105" s="4" t="s">
        <v>273</v>
      </c>
      <c r="C105" s="4" t="s">
        <v>281</v>
      </c>
      <c r="D105" s="4" t="s">
        <v>8</v>
      </c>
      <c r="E105" s="4" t="s">
        <v>120</v>
      </c>
      <c r="F105" s="5">
        <v>1.2</v>
      </c>
      <c r="G105" s="10">
        <v>1.0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U105" s="8">
        <f t="shared" si="1"/>
        <v>1.2</v>
      </c>
      <c r="V105" s="8">
        <f t="shared" si="2"/>
        <v>65</v>
      </c>
      <c r="W105" s="8" t="str">
        <f t="shared" si="3"/>
        <v/>
      </c>
      <c r="X105" s="8" t="str">
        <f t="shared" si="4"/>
        <v>#N/A</v>
      </c>
    </row>
    <row r="106">
      <c r="A106" s="4">
        <f t="shared" si="5"/>
        <v>105</v>
      </c>
      <c r="B106" s="4" t="s">
        <v>280</v>
      </c>
      <c r="C106" s="4" t="s">
        <v>284</v>
      </c>
      <c r="D106" s="4" t="s">
        <v>8</v>
      </c>
      <c r="E106" s="4" t="s">
        <v>238</v>
      </c>
      <c r="F106" s="5">
        <v>0.7</v>
      </c>
      <c r="G106" s="10">
        <v>1.0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  <c r="U106" s="8">
        <f t="shared" si="1"/>
        <v>0.7</v>
      </c>
      <c r="V106" s="8">
        <f t="shared" si="2"/>
        <v>98</v>
      </c>
      <c r="W106" s="8" t="str">
        <f t="shared" si="3"/>
        <v/>
      </c>
      <c r="X106" s="8" t="str">
        <f t="shared" si="4"/>
        <v>#N/A</v>
      </c>
    </row>
    <row r="107">
      <c r="A107" s="4">
        <f t="shared" si="5"/>
        <v>106</v>
      </c>
      <c r="B107" s="4" t="s">
        <v>285</v>
      </c>
      <c r="C107" s="4" t="s">
        <v>285</v>
      </c>
      <c r="D107" s="4" t="s">
        <v>8</v>
      </c>
      <c r="E107" s="4" t="s">
        <v>240</v>
      </c>
      <c r="F107" s="5">
        <v>1.0</v>
      </c>
      <c r="G107" s="10">
        <v>1.0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U107" s="8">
        <f t="shared" si="1"/>
        <v>1</v>
      </c>
      <c r="V107" s="8">
        <f t="shared" si="2"/>
        <v>80</v>
      </c>
      <c r="W107" s="8" t="str">
        <f t="shared" si="3"/>
        <v/>
      </c>
      <c r="X107" s="8" t="str">
        <f t="shared" si="4"/>
        <v>#N/A</v>
      </c>
    </row>
    <row r="108">
      <c r="A108" s="4">
        <f t="shared" si="5"/>
        <v>107</v>
      </c>
      <c r="B108" s="4" t="s">
        <v>288</v>
      </c>
      <c r="C108" s="4" t="s">
        <v>284</v>
      </c>
      <c r="D108" s="4" t="s">
        <v>8</v>
      </c>
      <c r="E108" s="4" t="s">
        <v>85</v>
      </c>
      <c r="F108" s="5">
        <v>2.1</v>
      </c>
      <c r="G108" s="10">
        <v>1.0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U108" s="8">
        <f t="shared" si="1"/>
        <v>2.1</v>
      </c>
      <c r="V108" s="8">
        <f t="shared" si="2"/>
        <v>42</v>
      </c>
      <c r="W108" s="8" t="str">
        <f t="shared" si="3"/>
        <v/>
      </c>
      <c r="X108" s="8" t="str">
        <f t="shared" si="4"/>
        <v>#N/A</v>
      </c>
    </row>
    <row r="109">
      <c r="A109" s="4">
        <f t="shared" si="5"/>
        <v>108</v>
      </c>
      <c r="B109" s="4" t="s">
        <v>284</v>
      </c>
      <c r="C109" s="4" t="s">
        <v>294</v>
      </c>
      <c r="D109" s="4" t="s">
        <v>8</v>
      </c>
      <c r="E109" s="4" t="s">
        <v>171</v>
      </c>
      <c r="F109" s="5">
        <v>1.1</v>
      </c>
      <c r="G109" s="10">
        <v>1.0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r="U109" s="8">
        <f t="shared" si="1"/>
        <v>1.1</v>
      </c>
      <c r="V109" s="8">
        <f t="shared" si="2"/>
        <v>71</v>
      </c>
      <c r="W109" s="8" t="str">
        <f t="shared" si="3"/>
        <v/>
      </c>
      <c r="X109" s="8" t="str">
        <f t="shared" si="4"/>
        <v>#N/A</v>
      </c>
    </row>
    <row r="110">
      <c r="A110" s="4">
        <f t="shared" si="5"/>
        <v>109</v>
      </c>
      <c r="B110" s="4" t="s">
        <v>287</v>
      </c>
      <c r="C110" s="4" t="s">
        <v>288</v>
      </c>
      <c r="D110" s="4" t="s">
        <v>8</v>
      </c>
      <c r="E110" s="4" t="s">
        <v>328</v>
      </c>
      <c r="F110" s="5">
        <v>1.8</v>
      </c>
      <c r="G110" s="10">
        <v>1.0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U110" s="8">
        <f t="shared" si="1"/>
        <v>1.8</v>
      </c>
      <c r="V110" s="8">
        <f t="shared" si="2"/>
        <v>51</v>
      </c>
      <c r="W110" s="8" t="str">
        <f t="shared" si="3"/>
        <v/>
      </c>
      <c r="X110" s="8" t="str">
        <f t="shared" si="4"/>
        <v>#N/A</v>
      </c>
    </row>
    <row r="111">
      <c r="A111" s="4">
        <f t="shared" si="5"/>
        <v>110</v>
      </c>
      <c r="B111" s="4" t="s">
        <v>294</v>
      </c>
      <c r="C111" s="4" t="s">
        <v>294</v>
      </c>
      <c r="D111" s="4" t="s">
        <v>8</v>
      </c>
      <c r="E111" s="4" t="s">
        <v>108</v>
      </c>
      <c r="F111" s="5">
        <v>1.0</v>
      </c>
      <c r="G111" s="10">
        <v>1.0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U111" s="8">
        <f t="shared" si="1"/>
        <v>1</v>
      </c>
      <c r="V111" s="8">
        <f t="shared" si="2"/>
        <v>80</v>
      </c>
      <c r="W111" s="8" t="str">
        <f t="shared" si="3"/>
        <v/>
      </c>
      <c r="X111" s="8" t="str">
        <f t="shared" si="4"/>
        <v>#N/A</v>
      </c>
    </row>
    <row r="112">
      <c r="A112" s="4">
        <f t="shared" si="5"/>
        <v>111</v>
      </c>
      <c r="B112" s="4" t="s">
        <v>281</v>
      </c>
      <c r="C112" s="4" t="s">
        <v>280</v>
      </c>
      <c r="D112" s="4" t="s">
        <v>8</v>
      </c>
      <c r="E112" s="4" t="s">
        <v>268</v>
      </c>
      <c r="F112" s="5">
        <v>1.0</v>
      </c>
      <c r="G112" s="10">
        <v>1.0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U112" s="8">
        <f t="shared" si="1"/>
        <v>1</v>
      </c>
      <c r="V112" s="8">
        <f t="shared" si="2"/>
        <v>80</v>
      </c>
      <c r="W112" s="8" t="str">
        <f t="shared" si="3"/>
        <v/>
      </c>
      <c r="X112" s="8" t="str">
        <f t="shared" si="4"/>
        <v>#N/A</v>
      </c>
    </row>
    <row r="113">
      <c r="A113" s="4">
        <f t="shared" si="5"/>
        <v>112</v>
      </c>
      <c r="B113" s="4" t="s">
        <v>286</v>
      </c>
      <c r="C113" s="4" t="s">
        <v>274</v>
      </c>
      <c r="D113" s="4" t="s">
        <v>8</v>
      </c>
      <c r="E113" s="4" t="s">
        <v>329</v>
      </c>
      <c r="F113" s="5">
        <v>1.3</v>
      </c>
      <c r="G113" s="10">
        <v>3.0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U113" s="8">
        <f t="shared" si="1"/>
        <v>1.3</v>
      </c>
      <c r="V113" s="8">
        <f t="shared" si="2"/>
        <v>62</v>
      </c>
      <c r="W113" s="8" t="str">
        <f t="shared" si="3"/>
        <v/>
      </c>
      <c r="X113" s="8" t="str">
        <f t="shared" si="4"/>
        <v>#N/A</v>
      </c>
    </row>
    <row r="114">
      <c r="A114" s="4">
        <f t="shared" si="5"/>
        <v>113</v>
      </c>
      <c r="B114" s="4" t="s">
        <v>293</v>
      </c>
      <c r="C114" s="4" t="s">
        <v>287</v>
      </c>
      <c r="D114" s="4" t="s">
        <v>8</v>
      </c>
      <c r="E114" s="4" t="s">
        <v>330</v>
      </c>
      <c r="F114" s="5">
        <v>1.3</v>
      </c>
      <c r="G114" s="10">
        <v>1.0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U114" s="8">
        <f t="shared" si="1"/>
        <v>1.3</v>
      </c>
      <c r="V114" s="8">
        <f t="shared" si="2"/>
        <v>62</v>
      </c>
      <c r="W114" s="8" t="str">
        <f t="shared" si="3"/>
        <v/>
      </c>
      <c r="X114" s="8" t="str">
        <f t="shared" si="4"/>
        <v>#N/A</v>
      </c>
    </row>
    <row r="115">
      <c r="A115" s="4">
        <f t="shared" si="5"/>
        <v>114</v>
      </c>
      <c r="B115" s="4" t="s">
        <v>274</v>
      </c>
      <c r="C115" s="4" t="s">
        <v>284</v>
      </c>
      <c r="D115" s="4" t="s">
        <v>8</v>
      </c>
      <c r="E115" s="4" t="s">
        <v>222</v>
      </c>
      <c r="F115" s="5">
        <v>1.1</v>
      </c>
      <c r="G115" s="10">
        <v>1.0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U115" s="8">
        <f t="shared" si="1"/>
        <v>1.1</v>
      </c>
      <c r="V115" s="8">
        <f t="shared" si="2"/>
        <v>71</v>
      </c>
      <c r="W115" s="8" t="str">
        <f t="shared" si="3"/>
        <v/>
      </c>
      <c r="X115" s="8" t="str">
        <f t="shared" si="4"/>
        <v>#N/A</v>
      </c>
    </row>
    <row r="116">
      <c r="A116" s="4">
        <f t="shared" si="5"/>
        <v>115</v>
      </c>
      <c r="B116" s="4" t="s">
        <v>273</v>
      </c>
      <c r="C116" s="4" t="s">
        <v>294</v>
      </c>
      <c r="D116" s="4" t="s">
        <v>8</v>
      </c>
      <c r="E116" s="4" t="s">
        <v>94</v>
      </c>
      <c r="F116" s="5">
        <v>0.7</v>
      </c>
      <c r="G116" s="10">
        <v>1.0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U116" s="8">
        <f t="shared" si="1"/>
        <v>0.7</v>
      </c>
      <c r="V116" s="8">
        <f t="shared" si="2"/>
        <v>98</v>
      </c>
      <c r="W116" s="8" t="str">
        <f t="shared" si="3"/>
        <v/>
      </c>
      <c r="X116" s="8" t="str">
        <f t="shared" si="4"/>
        <v>#N/A</v>
      </c>
    </row>
    <row r="117">
      <c r="A117" s="4">
        <f t="shared" si="5"/>
        <v>116</v>
      </c>
      <c r="B117" s="4" t="s">
        <v>280</v>
      </c>
      <c r="C117" s="4" t="s">
        <v>286</v>
      </c>
      <c r="D117" s="4" t="s">
        <v>8</v>
      </c>
      <c r="E117" s="4" t="s">
        <v>331</v>
      </c>
      <c r="F117" s="5">
        <v>1.1</v>
      </c>
      <c r="G117" s="10">
        <v>1.0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U117" s="8">
        <f t="shared" si="1"/>
        <v>1.1</v>
      </c>
      <c r="V117" s="8">
        <f t="shared" si="2"/>
        <v>71</v>
      </c>
      <c r="W117" s="8" t="str">
        <f t="shared" si="3"/>
        <v/>
      </c>
      <c r="X117" s="8" t="str">
        <f t="shared" si="4"/>
        <v>#N/A</v>
      </c>
    </row>
    <row r="118">
      <c r="A118" s="4">
        <f t="shared" si="5"/>
        <v>117</v>
      </c>
      <c r="B118" s="4" t="s">
        <v>288</v>
      </c>
      <c r="C118" s="4" t="s">
        <v>286</v>
      </c>
      <c r="D118" s="4" t="s">
        <v>8</v>
      </c>
      <c r="E118" s="4" t="s">
        <v>130</v>
      </c>
      <c r="F118" s="5">
        <v>0.9</v>
      </c>
      <c r="G118" s="10">
        <v>1.0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U118" s="8">
        <f t="shared" si="1"/>
        <v>0.9</v>
      </c>
      <c r="V118" s="8">
        <f t="shared" si="2"/>
        <v>85</v>
      </c>
      <c r="W118" s="8" t="str">
        <f t="shared" si="3"/>
        <v/>
      </c>
      <c r="X118" s="8" t="str">
        <f t="shared" si="4"/>
        <v>#N/A</v>
      </c>
    </row>
    <row r="119">
      <c r="A119" s="4">
        <f t="shared" si="5"/>
        <v>118</v>
      </c>
      <c r="B119" s="4" t="s">
        <v>284</v>
      </c>
      <c r="C119" s="4" t="s">
        <v>284</v>
      </c>
      <c r="D119" s="4" t="s">
        <v>8</v>
      </c>
      <c r="E119" s="4" t="s">
        <v>332</v>
      </c>
      <c r="F119" s="5">
        <v>0.9</v>
      </c>
      <c r="G119" s="10">
        <v>1.0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U119" s="8">
        <f t="shared" si="1"/>
        <v>0.9</v>
      </c>
      <c r="V119" s="8">
        <f t="shared" si="2"/>
        <v>85</v>
      </c>
      <c r="W119" s="8" t="str">
        <f t="shared" si="3"/>
        <v/>
      </c>
      <c r="X119" s="8" t="str">
        <f t="shared" si="4"/>
        <v>#N/A</v>
      </c>
    </row>
    <row r="120">
      <c r="A120" s="4">
        <f t="shared" si="5"/>
        <v>119</v>
      </c>
      <c r="B120" s="4" t="s">
        <v>287</v>
      </c>
      <c r="C120" s="4" t="s">
        <v>280</v>
      </c>
      <c r="D120" s="4" t="s">
        <v>8</v>
      </c>
      <c r="E120" s="4" t="s">
        <v>136</v>
      </c>
      <c r="F120" s="5">
        <v>0.9</v>
      </c>
      <c r="G120" s="10">
        <v>1.0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U120" s="8">
        <f t="shared" si="1"/>
        <v>0.9</v>
      </c>
      <c r="V120" s="8">
        <f t="shared" si="2"/>
        <v>85</v>
      </c>
      <c r="W120" s="8" t="str">
        <f t="shared" si="3"/>
        <v/>
      </c>
      <c r="X120" s="8" t="str">
        <f t="shared" si="4"/>
        <v>#N/A</v>
      </c>
    </row>
    <row r="121">
      <c r="A121" s="4">
        <f t="shared" si="5"/>
        <v>120</v>
      </c>
      <c r="B121" s="4" t="s">
        <v>294</v>
      </c>
      <c r="C121" s="4" t="s">
        <v>273</v>
      </c>
      <c r="D121" s="4" t="s">
        <v>8</v>
      </c>
      <c r="E121" s="4" t="s">
        <v>333</v>
      </c>
      <c r="F121" s="5">
        <v>1.1</v>
      </c>
      <c r="G121" s="10">
        <v>1.0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U121" s="8">
        <f t="shared" si="1"/>
        <v>1.1</v>
      </c>
      <c r="V121" s="8">
        <f t="shared" si="2"/>
        <v>71</v>
      </c>
      <c r="W121" s="8" t="str">
        <f t="shared" si="3"/>
        <v/>
      </c>
      <c r="X121" s="8" t="str">
        <f t="shared" si="4"/>
        <v>#N/A</v>
      </c>
    </row>
    <row r="122">
      <c r="A122" s="4">
        <f t="shared" si="5"/>
        <v>121</v>
      </c>
      <c r="B122" s="4" t="s">
        <v>281</v>
      </c>
      <c r="C122" s="4" t="s">
        <v>287</v>
      </c>
      <c r="D122" s="4" t="s">
        <v>8</v>
      </c>
      <c r="E122" s="4" t="s">
        <v>141</v>
      </c>
      <c r="F122" s="5">
        <v>0.6</v>
      </c>
      <c r="G122" s="10">
        <v>1.0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U122" s="8">
        <f t="shared" si="1"/>
        <v>0.6</v>
      </c>
      <c r="V122" s="8">
        <f t="shared" si="2"/>
        <v>112</v>
      </c>
      <c r="W122" s="8" t="str">
        <f t="shared" si="3"/>
        <v/>
      </c>
      <c r="X122" s="8" t="str">
        <f t="shared" si="4"/>
        <v>#N/A</v>
      </c>
    </row>
    <row r="123">
      <c r="A123" s="4">
        <f t="shared" si="5"/>
        <v>122</v>
      </c>
      <c r="B123" s="4" t="s">
        <v>286</v>
      </c>
      <c r="C123" s="4" t="s">
        <v>280</v>
      </c>
      <c r="D123" s="4" t="s">
        <v>8</v>
      </c>
      <c r="E123" s="4" t="s">
        <v>245</v>
      </c>
      <c r="F123" s="5">
        <v>0.7</v>
      </c>
      <c r="G123" s="10">
        <v>1.0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U123" s="8">
        <f t="shared" si="1"/>
        <v>0.7</v>
      </c>
      <c r="V123" s="8">
        <f t="shared" si="2"/>
        <v>98</v>
      </c>
      <c r="W123" s="8" t="str">
        <f t="shared" si="3"/>
        <v/>
      </c>
      <c r="X123" s="8" t="str">
        <f t="shared" si="4"/>
        <v>#N/A</v>
      </c>
    </row>
    <row r="124">
      <c r="A124" s="4">
        <f t="shared" si="5"/>
        <v>123</v>
      </c>
      <c r="B124" s="4" t="s">
        <v>293</v>
      </c>
      <c r="C124" s="4" t="s">
        <v>284</v>
      </c>
      <c r="D124" s="4" t="s">
        <v>8</v>
      </c>
      <c r="E124" s="4" t="s">
        <v>103</v>
      </c>
      <c r="F124" s="5">
        <v>0.9</v>
      </c>
      <c r="G124" s="10">
        <v>1.0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U124" s="8">
        <f t="shared" si="1"/>
        <v>0.9</v>
      </c>
      <c r="V124" s="8">
        <f t="shared" si="2"/>
        <v>85</v>
      </c>
      <c r="W124" s="8" t="str">
        <f t="shared" si="3"/>
        <v/>
      </c>
      <c r="X124" s="8" t="str">
        <f t="shared" si="4"/>
        <v>#N/A</v>
      </c>
    </row>
    <row r="125">
      <c r="A125" s="4">
        <f t="shared" si="5"/>
        <v>124</v>
      </c>
      <c r="B125" s="4" t="s">
        <v>274</v>
      </c>
      <c r="C125" s="4" t="s">
        <v>274</v>
      </c>
      <c r="D125" s="4" t="s">
        <v>8</v>
      </c>
      <c r="E125" s="4" t="s">
        <v>334</v>
      </c>
      <c r="F125" s="5">
        <v>0.7</v>
      </c>
      <c r="G125" s="10">
        <v>1.0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U125" s="8">
        <f t="shared" si="1"/>
        <v>0.7</v>
      </c>
      <c r="V125" s="8">
        <f t="shared" si="2"/>
        <v>98</v>
      </c>
      <c r="W125" s="8" t="str">
        <f t="shared" si="3"/>
        <v/>
      </c>
      <c r="X125" s="8" t="str">
        <f t="shared" si="4"/>
        <v>#N/A</v>
      </c>
    </row>
    <row r="126">
      <c r="A126" s="4">
        <f t="shared" si="5"/>
        <v>125</v>
      </c>
      <c r="B126" s="4" t="s">
        <v>273</v>
      </c>
      <c r="C126" s="4" t="s">
        <v>280</v>
      </c>
      <c r="D126" s="4" t="s">
        <v>8</v>
      </c>
      <c r="E126" s="4" t="s">
        <v>335</v>
      </c>
      <c r="F126" s="5">
        <v>0.8</v>
      </c>
      <c r="G126" s="10">
        <v>1.0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U126" s="8">
        <f t="shared" si="1"/>
        <v>0.8</v>
      </c>
      <c r="V126" s="8">
        <f t="shared" si="2"/>
        <v>93</v>
      </c>
      <c r="W126" s="8" t="str">
        <f t="shared" si="3"/>
        <v/>
      </c>
      <c r="X126" s="8" t="str">
        <f t="shared" si="4"/>
        <v>#N/A</v>
      </c>
    </row>
    <row r="127">
      <c r="A127" s="4">
        <f t="shared" si="5"/>
        <v>126</v>
      </c>
      <c r="B127" s="4" t="s">
        <v>280</v>
      </c>
      <c r="C127" s="4" t="s">
        <v>287</v>
      </c>
      <c r="D127" s="4" t="s">
        <v>8</v>
      </c>
      <c r="E127" s="4" t="s">
        <v>336</v>
      </c>
      <c r="F127" s="5">
        <v>0.7</v>
      </c>
      <c r="G127" s="10">
        <v>1.0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U127" s="8">
        <f t="shared" si="1"/>
        <v>0.7</v>
      </c>
      <c r="V127" s="8">
        <f t="shared" si="2"/>
        <v>98</v>
      </c>
      <c r="W127" s="8" t="str">
        <f t="shared" si="3"/>
        <v/>
      </c>
      <c r="X127" s="8" t="str">
        <f t="shared" si="4"/>
        <v>#N/A</v>
      </c>
    </row>
    <row r="128">
      <c r="A128" s="4">
        <f t="shared" si="5"/>
        <v>127</v>
      </c>
      <c r="B128" s="4" t="s">
        <v>288</v>
      </c>
      <c r="C128" s="4" t="s">
        <v>280</v>
      </c>
      <c r="D128" s="4" t="s">
        <v>8</v>
      </c>
      <c r="E128" s="4" t="s">
        <v>72</v>
      </c>
      <c r="F128" s="5">
        <v>1.0</v>
      </c>
      <c r="G128" s="10">
        <v>2.0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U128" s="8">
        <f t="shared" si="1"/>
        <v>1</v>
      </c>
      <c r="V128" s="8">
        <f t="shared" si="2"/>
        <v>80</v>
      </c>
      <c r="W128" s="8" t="str">
        <f t="shared" si="3"/>
        <v/>
      </c>
      <c r="X128" s="8" t="str">
        <f t="shared" si="4"/>
        <v>#N/A</v>
      </c>
    </row>
    <row r="129">
      <c r="A129" s="4">
        <f t="shared" si="5"/>
        <v>128</v>
      </c>
      <c r="B129" s="4" t="s">
        <v>287</v>
      </c>
      <c r="C129" s="4" t="s">
        <v>287</v>
      </c>
      <c r="D129" s="4" t="s">
        <v>8</v>
      </c>
      <c r="E129" s="4" t="s">
        <v>256</v>
      </c>
      <c r="F129" s="5">
        <v>0.8</v>
      </c>
      <c r="G129" s="10">
        <v>1.0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U129" s="8">
        <f t="shared" si="1"/>
        <v>0.8</v>
      </c>
      <c r="V129" s="8">
        <f t="shared" si="2"/>
        <v>93</v>
      </c>
      <c r="W129" s="8" t="str">
        <f t="shared" si="3"/>
        <v/>
      </c>
      <c r="X129" s="8" t="str">
        <f t="shared" si="4"/>
        <v>#N/A</v>
      </c>
    </row>
    <row r="130">
      <c r="A130" s="4">
        <f t="shared" si="5"/>
        <v>129</v>
      </c>
      <c r="B130" s="4" t="s">
        <v>294</v>
      </c>
      <c r="C130" s="4" t="s">
        <v>274</v>
      </c>
      <c r="D130" s="4" t="s">
        <v>8</v>
      </c>
      <c r="E130" s="4" t="s">
        <v>337</v>
      </c>
      <c r="F130" s="5">
        <v>0.7</v>
      </c>
      <c r="G130" s="10">
        <v>1.0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U130" s="8">
        <f t="shared" si="1"/>
        <v>0.7</v>
      </c>
      <c r="V130" s="8">
        <f t="shared" si="2"/>
        <v>98</v>
      </c>
      <c r="W130" s="8" t="str">
        <f t="shared" si="3"/>
        <v/>
      </c>
      <c r="X130" s="8" t="str">
        <f t="shared" si="4"/>
        <v>#N/A</v>
      </c>
    </row>
    <row r="131">
      <c r="A131" s="4">
        <f t="shared" si="5"/>
        <v>130</v>
      </c>
      <c r="B131" s="4" t="s">
        <v>281</v>
      </c>
      <c r="C131" s="4" t="s">
        <v>293</v>
      </c>
      <c r="D131" s="4" t="s">
        <v>8</v>
      </c>
      <c r="E131" s="4" t="s">
        <v>118</v>
      </c>
      <c r="F131" s="5">
        <v>0.7</v>
      </c>
      <c r="G131" s="10">
        <v>1.0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U131" s="8">
        <f t="shared" si="1"/>
        <v>0.7</v>
      </c>
      <c r="V131" s="8">
        <f t="shared" si="2"/>
        <v>98</v>
      </c>
      <c r="W131" s="8" t="str">
        <f t="shared" si="3"/>
        <v/>
      </c>
      <c r="X131" s="8" t="str">
        <f t="shared" si="4"/>
        <v>#N/A</v>
      </c>
    </row>
    <row r="132">
      <c r="A132" s="4">
        <f t="shared" si="5"/>
        <v>131</v>
      </c>
      <c r="B132" s="4" t="s">
        <v>286</v>
      </c>
      <c r="C132" s="4" t="s">
        <v>286</v>
      </c>
      <c r="D132" s="4" t="s">
        <v>8</v>
      </c>
      <c r="E132" s="4" t="s">
        <v>338</v>
      </c>
      <c r="F132" s="5">
        <v>0.5</v>
      </c>
      <c r="G132" s="10">
        <v>1.0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U132" s="8">
        <f t="shared" si="1"/>
        <v>0.5</v>
      </c>
      <c r="V132" s="8">
        <f t="shared" si="2"/>
        <v>120</v>
      </c>
      <c r="W132" s="8" t="str">
        <f t="shared" si="3"/>
        <v/>
      </c>
      <c r="X132" s="8" t="str">
        <f t="shared" si="4"/>
        <v>#N/A</v>
      </c>
    </row>
    <row r="133">
      <c r="A133" s="4">
        <f t="shared" si="5"/>
        <v>132</v>
      </c>
      <c r="B133" s="4" t="s">
        <v>293</v>
      </c>
      <c r="C133" s="4" t="s">
        <v>281</v>
      </c>
      <c r="D133" s="4" t="s">
        <v>8</v>
      </c>
      <c r="E133" s="4" t="s">
        <v>135</v>
      </c>
      <c r="F133" s="5">
        <v>0.9</v>
      </c>
      <c r="G133" s="10">
        <v>1.0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U133" s="8">
        <f t="shared" si="1"/>
        <v>0.9</v>
      </c>
      <c r="V133" s="8">
        <f t="shared" si="2"/>
        <v>85</v>
      </c>
      <c r="W133" s="8" t="str">
        <f t="shared" si="3"/>
        <v/>
      </c>
      <c r="X133" s="8" t="str">
        <f t="shared" si="4"/>
        <v>#N/A</v>
      </c>
    </row>
    <row r="134">
      <c r="A134" s="4">
        <f t="shared" si="5"/>
        <v>133</v>
      </c>
      <c r="B134" s="4" t="s">
        <v>274</v>
      </c>
      <c r="C134" s="4" t="s">
        <v>274</v>
      </c>
      <c r="D134" s="4" t="s">
        <v>8</v>
      </c>
      <c r="E134" s="4" t="s">
        <v>148</v>
      </c>
      <c r="F134" s="5">
        <v>0.8</v>
      </c>
      <c r="G134" s="10">
        <v>2.0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U134" s="8">
        <f t="shared" si="1"/>
        <v>0.8</v>
      </c>
      <c r="V134" s="8">
        <f t="shared" si="2"/>
        <v>93</v>
      </c>
      <c r="W134" s="8" t="str">
        <f t="shared" si="3"/>
        <v/>
      </c>
      <c r="X134" s="8" t="str">
        <f t="shared" si="4"/>
        <v>#N/A</v>
      </c>
    </row>
    <row r="135">
      <c r="A135" s="4">
        <f t="shared" si="5"/>
        <v>134</v>
      </c>
      <c r="B135" s="4" t="s">
        <v>273</v>
      </c>
      <c r="C135" s="4" t="s">
        <v>288</v>
      </c>
      <c r="D135" s="4" t="s">
        <v>8</v>
      </c>
      <c r="E135" s="4" t="s">
        <v>339</v>
      </c>
      <c r="F135" s="5">
        <v>0.8</v>
      </c>
      <c r="G135" s="10">
        <v>2.0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U135" s="8">
        <f t="shared" si="1"/>
        <v>0.8</v>
      </c>
      <c r="V135" s="8">
        <f t="shared" si="2"/>
        <v>93</v>
      </c>
      <c r="W135" s="8" t="str">
        <f t="shared" si="3"/>
        <v/>
      </c>
      <c r="X135" s="8" t="str">
        <f t="shared" si="4"/>
        <v>#N/A</v>
      </c>
    </row>
    <row r="136">
      <c r="A136" s="4">
        <f t="shared" si="5"/>
        <v>135</v>
      </c>
      <c r="B136" s="4" t="s">
        <v>280</v>
      </c>
      <c r="C136" s="4" t="s">
        <v>287</v>
      </c>
      <c r="D136" s="4" t="s">
        <v>8</v>
      </c>
      <c r="E136" s="4" t="s">
        <v>340</v>
      </c>
      <c r="F136" s="5">
        <v>0.7</v>
      </c>
      <c r="G136" s="10">
        <v>1.0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U136" s="8">
        <f t="shared" si="1"/>
        <v>0.7</v>
      </c>
      <c r="V136" s="8">
        <f t="shared" si="2"/>
        <v>98</v>
      </c>
      <c r="W136" s="8" t="str">
        <f t="shared" si="3"/>
        <v/>
      </c>
      <c r="X136" s="8" t="str">
        <f t="shared" si="4"/>
        <v>#N/A</v>
      </c>
    </row>
    <row r="137">
      <c r="A137" s="4">
        <f t="shared" si="5"/>
        <v>136</v>
      </c>
      <c r="B137" s="4" t="s">
        <v>288</v>
      </c>
      <c r="C137" s="4" t="s">
        <v>288</v>
      </c>
      <c r="D137" s="4" t="s">
        <v>8</v>
      </c>
      <c r="E137" s="4" t="s">
        <v>223</v>
      </c>
      <c r="F137" s="5">
        <v>0.6</v>
      </c>
      <c r="G137" s="10">
        <v>1.0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U137" s="8">
        <f t="shared" si="1"/>
        <v>0.6</v>
      </c>
      <c r="V137" s="8">
        <f t="shared" si="2"/>
        <v>112</v>
      </c>
      <c r="W137" s="8" t="str">
        <f t="shared" si="3"/>
        <v/>
      </c>
      <c r="X137" s="8" t="str">
        <f t="shared" si="4"/>
        <v>#N/A</v>
      </c>
    </row>
    <row r="138">
      <c r="A138" s="4">
        <f t="shared" si="5"/>
        <v>137</v>
      </c>
      <c r="B138" s="4" t="s">
        <v>287</v>
      </c>
      <c r="C138" s="4" t="s">
        <v>287</v>
      </c>
      <c r="D138" s="4" t="s">
        <v>8</v>
      </c>
      <c r="E138" s="4" t="s">
        <v>248</v>
      </c>
      <c r="F138" s="5">
        <v>0.7</v>
      </c>
      <c r="G138" s="10">
        <v>1.0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U138" s="8">
        <f t="shared" si="1"/>
        <v>0.7</v>
      </c>
      <c r="V138" s="8">
        <f t="shared" si="2"/>
        <v>98</v>
      </c>
      <c r="W138" s="8" t="str">
        <f t="shared" si="3"/>
        <v/>
      </c>
      <c r="X138" s="8" t="str">
        <f t="shared" si="4"/>
        <v>#N/A</v>
      </c>
    </row>
    <row r="139">
      <c r="A139" s="4">
        <f t="shared" si="5"/>
        <v>138</v>
      </c>
      <c r="B139" s="4" t="s">
        <v>294</v>
      </c>
      <c r="C139" s="4" t="s">
        <v>294</v>
      </c>
      <c r="D139" s="4" t="s">
        <v>8</v>
      </c>
      <c r="E139" s="4" t="s">
        <v>263</v>
      </c>
      <c r="F139" s="5">
        <v>0.5</v>
      </c>
      <c r="G139" s="10">
        <v>1.0</v>
      </c>
      <c r="H139" s="7"/>
      <c r="I139" s="7"/>
      <c r="J139" s="7"/>
      <c r="K139" s="7"/>
      <c r="L139" s="7"/>
      <c r="M139" s="7"/>
      <c r="N139" s="7"/>
      <c r="O139" s="7"/>
      <c r="P139" s="7"/>
      <c r="Q139" s="7"/>
      <c r="U139" s="8">
        <f t="shared" si="1"/>
        <v>0.5</v>
      </c>
      <c r="V139" s="8">
        <f t="shared" si="2"/>
        <v>120</v>
      </c>
      <c r="W139" s="8" t="str">
        <f t="shared" si="3"/>
        <v/>
      </c>
      <c r="X139" s="8" t="str">
        <f t="shared" si="4"/>
        <v>#N/A</v>
      </c>
    </row>
    <row r="140">
      <c r="A140" s="4">
        <f t="shared" si="5"/>
        <v>139</v>
      </c>
      <c r="B140" s="4" t="s">
        <v>281</v>
      </c>
      <c r="C140" s="4" t="s">
        <v>287</v>
      </c>
      <c r="D140" s="4" t="s">
        <v>8</v>
      </c>
      <c r="E140" s="4" t="s">
        <v>121</v>
      </c>
      <c r="F140" s="5">
        <v>0.6</v>
      </c>
      <c r="G140" s="10">
        <v>1.0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U140" s="8">
        <f t="shared" si="1"/>
        <v>0.6</v>
      </c>
      <c r="V140" s="8">
        <f t="shared" si="2"/>
        <v>112</v>
      </c>
      <c r="W140" s="8" t="str">
        <f t="shared" si="3"/>
        <v/>
      </c>
      <c r="X140" s="8" t="str">
        <f t="shared" si="4"/>
        <v>#N/A</v>
      </c>
    </row>
    <row r="141">
      <c r="A141" s="4">
        <f t="shared" si="5"/>
        <v>140</v>
      </c>
      <c r="B141" s="4" t="s">
        <v>286</v>
      </c>
      <c r="C141" s="4" t="s">
        <v>294</v>
      </c>
      <c r="D141" s="4" t="s">
        <v>8</v>
      </c>
      <c r="E141" s="4" t="s">
        <v>166</v>
      </c>
      <c r="F141" s="5">
        <v>0.7</v>
      </c>
      <c r="G141" s="10">
        <v>1.0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  <c r="U141" s="8">
        <f t="shared" si="1"/>
        <v>0.7</v>
      </c>
      <c r="V141" s="8">
        <f t="shared" si="2"/>
        <v>98</v>
      </c>
      <c r="W141" s="8" t="str">
        <f t="shared" si="3"/>
        <v/>
      </c>
      <c r="X141" s="8" t="str">
        <f t="shared" si="4"/>
        <v>#N/A</v>
      </c>
    </row>
    <row r="142">
      <c r="A142" s="4">
        <f t="shared" si="5"/>
        <v>141</v>
      </c>
      <c r="B142" s="4" t="s">
        <v>293</v>
      </c>
      <c r="C142" s="4" t="s">
        <v>281</v>
      </c>
      <c r="D142" s="4" t="s">
        <v>8</v>
      </c>
      <c r="E142" s="4" t="s">
        <v>264</v>
      </c>
      <c r="F142" s="5">
        <v>0.7</v>
      </c>
      <c r="G142" s="10">
        <v>1.0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U142" s="8">
        <f t="shared" si="1"/>
        <v>0.7</v>
      </c>
      <c r="V142" s="8">
        <f t="shared" si="2"/>
        <v>98</v>
      </c>
      <c r="W142" s="8" t="str">
        <f t="shared" si="3"/>
        <v/>
      </c>
      <c r="X142" s="8" t="str">
        <f t="shared" si="4"/>
        <v>#N/A</v>
      </c>
    </row>
    <row r="143">
      <c r="A143" s="4">
        <f t="shared" si="5"/>
        <v>142</v>
      </c>
      <c r="B143" s="4" t="s">
        <v>273</v>
      </c>
      <c r="C143" s="4" t="s">
        <v>286</v>
      </c>
      <c r="D143" s="4" t="s">
        <v>8</v>
      </c>
      <c r="E143" s="4" t="s">
        <v>257</v>
      </c>
      <c r="F143" s="5">
        <v>0.6</v>
      </c>
      <c r="G143" s="10">
        <v>1.0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U143" s="8">
        <f t="shared" si="1"/>
        <v>0.6</v>
      </c>
      <c r="V143" s="8">
        <f t="shared" si="2"/>
        <v>112</v>
      </c>
      <c r="W143" s="8" t="str">
        <f t="shared" si="3"/>
        <v/>
      </c>
      <c r="X143" s="8" t="str">
        <f t="shared" si="4"/>
        <v>#N/A</v>
      </c>
    </row>
    <row r="144">
      <c r="A144" s="4">
        <f t="shared" si="5"/>
        <v>143</v>
      </c>
      <c r="B144" s="4" t="s">
        <v>280</v>
      </c>
      <c r="C144" s="4" t="s">
        <v>273</v>
      </c>
      <c r="D144" s="4" t="s">
        <v>8</v>
      </c>
      <c r="E144" s="4" t="s">
        <v>341</v>
      </c>
      <c r="F144" s="5">
        <v>0.7</v>
      </c>
      <c r="G144" s="10">
        <v>1.0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U144" s="8">
        <f t="shared" si="1"/>
        <v>0.7</v>
      </c>
      <c r="V144" s="8">
        <f t="shared" si="2"/>
        <v>98</v>
      </c>
      <c r="W144" s="8" t="str">
        <f t="shared" si="3"/>
        <v/>
      </c>
      <c r="X144" s="8" t="str">
        <f t="shared" si="4"/>
        <v>#N/A</v>
      </c>
    </row>
    <row r="145">
      <c r="A145" s="4">
        <f t="shared" si="5"/>
        <v>144</v>
      </c>
      <c r="B145" s="4" t="s">
        <v>288</v>
      </c>
      <c r="C145" s="4" t="s">
        <v>288</v>
      </c>
      <c r="D145" s="4" t="s">
        <v>8</v>
      </c>
      <c r="E145" s="4" t="s">
        <v>342</v>
      </c>
      <c r="F145" s="5">
        <v>0.5</v>
      </c>
      <c r="G145" s="10">
        <v>1.0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U145" s="8">
        <f t="shared" si="1"/>
        <v>0.5</v>
      </c>
      <c r="V145" s="8">
        <f t="shared" si="2"/>
        <v>120</v>
      </c>
      <c r="W145" s="8" t="str">
        <f t="shared" si="3"/>
        <v/>
      </c>
      <c r="X145" s="8" t="str">
        <f t="shared" si="4"/>
        <v>#N/A</v>
      </c>
    </row>
    <row r="146">
      <c r="A146" s="4">
        <f t="shared" si="5"/>
        <v>145</v>
      </c>
      <c r="B146" s="4" t="s">
        <v>294</v>
      </c>
      <c r="C146" s="4" t="s">
        <v>294</v>
      </c>
      <c r="D146" s="4" t="s">
        <v>8</v>
      </c>
      <c r="E146" s="4" t="s">
        <v>173</v>
      </c>
      <c r="F146" s="5">
        <v>0.5</v>
      </c>
      <c r="G146" s="10">
        <v>1.0</v>
      </c>
      <c r="H146" s="7"/>
      <c r="I146" s="7"/>
      <c r="J146" s="7"/>
      <c r="K146" s="7"/>
      <c r="L146" s="7"/>
      <c r="M146" s="7"/>
      <c r="N146" s="7"/>
      <c r="O146" s="7"/>
      <c r="P146" s="7"/>
      <c r="Q146" s="7"/>
      <c r="U146" s="8">
        <f t="shared" si="1"/>
        <v>0.5</v>
      </c>
      <c r="V146" s="8">
        <f t="shared" si="2"/>
        <v>120</v>
      </c>
      <c r="W146" s="8" t="str">
        <f t="shared" si="3"/>
        <v/>
      </c>
      <c r="X146" s="8" t="str">
        <f t="shared" si="4"/>
        <v>#N/A</v>
      </c>
    </row>
    <row r="147">
      <c r="A147" s="4">
        <f t="shared" si="5"/>
        <v>146</v>
      </c>
      <c r="B147" s="4" t="s">
        <v>281</v>
      </c>
      <c r="C147" s="4" t="s">
        <v>281</v>
      </c>
      <c r="D147" s="4" t="s">
        <v>8</v>
      </c>
      <c r="E147" s="4" t="s">
        <v>241</v>
      </c>
      <c r="F147" s="5">
        <v>0.5</v>
      </c>
      <c r="G147" s="10">
        <v>1.0</v>
      </c>
      <c r="H147" s="7"/>
      <c r="I147" s="7"/>
      <c r="J147" s="7"/>
      <c r="K147" s="7"/>
      <c r="L147" s="7"/>
      <c r="M147" s="7"/>
      <c r="N147" s="7"/>
      <c r="O147" s="7"/>
      <c r="P147" s="7"/>
      <c r="Q147" s="7"/>
      <c r="U147" s="8">
        <f t="shared" si="1"/>
        <v>0.5</v>
      </c>
      <c r="V147" s="8">
        <f t="shared" si="2"/>
        <v>120</v>
      </c>
      <c r="W147" s="8" t="str">
        <f t="shared" si="3"/>
        <v/>
      </c>
      <c r="X147" s="8" t="str">
        <f t="shared" si="4"/>
        <v>#N/A</v>
      </c>
    </row>
    <row r="148">
      <c r="A148" s="4">
        <f t="shared" si="5"/>
        <v>147</v>
      </c>
      <c r="B148" s="4" t="s">
        <v>293</v>
      </c>
      <c r="C148" s="4" t="s">
        <v>293</v>
      </c>
      <c r="D148" s="4" t="s">
        <v>8</v>
      </c>
      <c r="E148" s="4" t="s">
        <v>343</v>
      </c>
      <c r="F148" s="5">
        <v>0.5</v>
      </c>
      <c r="G148" s="10">
        <v>3.0</v>
      </c>
      <c r="H148" s="7"/>
      <c r="I148" s="7"/>
      <c r="J148" s="7"/>
      <c r="K148" s="7"/>
      <c r="L148" s="7"/>
      <c r="M148" s="7"/>
      <c r="N148" s="7"/>
      <c r="O148" s="7"/>
      <c r="P148" s="7"/>
      <c r="Q148" s="7"/>
      <c r="U148" s="8">
        <f t="shared" si="1"/>
        <v>0.5</v>
      </c>
      <c r="V148" s="8">
        <f t="shared" si="2"/>
        <v>120</v>
      </c>
      <c r="W148" s="8" t="str">
        <f t="shared" si="3"/>
        <v/>
      </c>
      <c r="X148" s="8" t="str">
        <f t="shared" si="4"/>
        <v>#N/A</v>
      </c>
    </row>
    <row r="149">
      <c r="A149" s="4">
        <f t="shared" si="5"/>
        <v>148</v>
      </c>
      <c r="B149" s="4" t="s">
        <v>273</v>
      </c>
      <c r="C149" s="4" t="s">
        <v>288</v>
      </c>
      <c r="D149" s="4" t="s">
        <v>8</v>
      </c>
      <c r="E149" s="4" t="s">
        <v>232</v>
      </c>
      <c r="F149" s="5">
        <v>0.6</v>
      </c>
      <c r="G149" s="10">
        <v>1.0</v>
      </c>
      <c r="H149" s="7"/>
      <c r="I149" s="7"/>
      <c r="J149" s="7"/>
      <c r="K149" s="7"/>
      <c r="L149" s="7"/>
      <c r="M149" s="7"/>
      <c r="N149" s="7"/>
      <c r="O149" s="7"/>
      <c r="P149" s="7"/>
      <c r="Q149" s="7"/>
      <c r="U149" s="8">
        <f t="shared" si="1"/>
        <v>0.6</v>
      </c>
      <c r="V149" s="8">
        <f t="shared" si="2"/>
        <v>112</v>
      </c>
      <c r="W149" s="8" t="str">
        <f t="shared" si="3"/>
        <v/>
      </c>
      <c r="X149" s="8" t="str">
        <f t="shared" si="4"/>
        <v>#N/A</v>
      </c>
    </row>
    <row r="150">
      <c r="A150" s="4">
        <f t="shared" si="5"/>
        <v>149</v>
      </c>
      <c r="B150" s="4" t="s">
        <v>280</v>
      </c>
      <c r="C150" s="4" t="s">
        <v>280</v>
      </c>
      <c r="D150" s="4" t="s">
        <v>8</v>
      </c>
      <c r="E150" s="4" t="s">
        <v>162</v>
      </c>
      <c r="F150" s="5">
        <v>0.5</v>
      </c>
      <c r="G150" s="10">
        <v>2.0</v>
      </c>
      <c r="H150" s="7"/>
      <c r="I150" s="7"/>
      <c r="J150" s="7"/>
      <c r="K150" s="7"/>
      <c r="L150" s="7"/>
      <c r="M150" s="7"/>
      <c r="N150" s="7"/>
      <c r="O150" s="7"/>
      <c r="P150" s="7"/>
      <c r="Q150" s="7"/>
      <c r="U150" s="8">
        <f t="shared" si="1"/>
        <v>0.5</v>
      </c>
      <c r="V150" s="8">
        <f t="shared" si="2"/>
        <v>120</v>
      </c>
      <c r="W150" s="8" t="str">
        <f t="shared" si="3"/>
        <v/>
      </c>
      <c r="X150" s="8" t="str">
        <f t="shared" si="4"/>
        <v>#N/A</v>
      </c>
    </row>
    <row r="151">
      <c r="A151" s="4">
        <f t="shared" si="5"/>
        <v>150</v>
      </c>
      <c r="B151" s="4" t="s">
        <v>288</v>
      </c>
      <c r="C151" s="4" t="s">
        <v>288</v>
      </c>
      <c r="D151" s="4" t="s">
        <v>8</v>
      </c>
      <c r="E151" s="4" t="s">
        <v>344</v>
      </c>
      <c r="F151" s="5">
        <v>0.5</v>
      </c>
      <c r="G151" s="10">
        <v>1.0</v>
      </c>
      <c r="H151" s="7"/>
      <c r="I151" s="7"/>
      <c r="J151" s="7"/>
      <c r="K151" s="7"/>
      <c r="L151" s="7"/>
      <c r="M151" s="7"/>
      <c r="N151" s="7"/>
      <c r="O151" s="7"/>
      <c r="P151" s="7"/>
      <c r="Q151" s="7"/>
      <c r="U151" s="8">
        <f t="shared" si="1"/>
        <v>0.5</v>
      </c>
      <c r="V151" s="8">
        <f t="shared" si="2"/>
        <v>120</v>
      </c>
      <c r="W151" s="8" t="str">
        <f t="shared" si="3"/>
        <v/>
      </c>
      <c r="X151" s="8" t="str">
        <f t="shared" si="4"/>
        <v>#N/A</v>
      </c>
    </row>
    <row r="152">
      <c r="A152" s="4">
        <f t="shared" si="5"/>
        <v>151</v>
      </c>
      <c r="B152" s="4" t="s">
        <v>281</v>
      </c>
      <c r="C152" s="4" t="s">
        <v>281</v>
      </c>
      <c r="D152" s="4" t="s">
        <v>8</v>
      </c>
      <c r="E152" s="4" t="s">
        <v>239</v>
      </c>
      <c r="F152" s="5">
        <v>0.5</v>
      </c>
      <c r="G152" s="10">
        <v>1.0</v>
      </c>
      <c r="H152" s="7"/>
      <c r="I152" s="7"/>
      <c r="J152" s="7"/>
      <c r="K152" s="7"/>
      <c r="L152" s="7"/>
      <c r="M152" s="7"/>
      <c r="N152" s="7"/>
      <c r="O152" s="7"/>
      <c r="P152" s="7"/>
      <c r="Q152" s="7"/>
      <c r="U152" s="8">
        <f t="shared" si="1"/>
        <v>0.5</v>
      </c>
      <c r="V152" s="8">
        <f t="shared" si="2"/>
        <v>120</v>
      </c>
      <c r="W152" s="8" t="str">
        <f t="shared" si="3"/>
        <v/>
      </c>
      <c r="X152" s="8" t="str">
        <f t="shared" si="4"/>
        <v>#N/A</v>
      </c>
    </row>
    <row r="153">
      <c r="A153" s="4">
        <f t="shared" si="5"/>
        <v>152</v>
      </c>
      <c r="B153" s="4" t="s">
        <v>293</v>
      </c>
      <c r="C153" s="4" t="s">
        <v>293</v>
      </c>
      <c r="D153" s="4" t="s">
        <v>8</v>
      </c>
      <c r="E153" s="4" t="s">
        <v>345</v>
      </c>
      <c r="F153" s="5">
        <v>0.5</v>
      </c>
      <c r="G153" s="10">
        <v>3.0</v>
      </c>
      <c r="H153" s="7"/>
      <c r="I153" s="7"/>
      <c r="J153" s="7"/>
      <c r="K153" s="7"/>
      <c r="L153" s="7"/>
      <c r="M153" s="7"/>
      <c r="N153" s="7"/>
      <c r="O153" s="7"/>
      <c r="P153" s="7"/>
      <c r="Q153" s="7"/>
      <c r="U153" s="8">
        <f t="shared" si="1"/>
        <v>0.5</v>
      </c>
      <c r="V153" s="8">
        <f t="shared" si="2"/>
        <v>120</v>
      </c>
      <c r="W153" s="8" t="str">
        <f t="shared" si="3"/>
        <v/>
      </c>
      <c r="X153" s="8" t="str">
        <f t="shared" si="4"/>
        <v>#N/A</v>
      </c>
    </row>
    <row r="154">
      <c r="A154" s="4">
        <f t="shared" si="5"/>
        <v>153</v>
      </c>
      <c r="B154" s="4" t="s">
        <v>273</v>
      </c>
      <c r="C154" s="4" t="s">
        <v>273</v>
      </c>
      <c r="D154" s="4" t="s">
        <v>8</v>
      </c>
      <c r="E154" s="4" t="s">
        <v>111</v>
      </c>
      <c r="F154" s="5">
        <v>0.7</v>
      </c>
      <c r="G154" s="10">
        <v>1.0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U154" s="8">
        <f t="shared" si="1"/>
        <v>0.7</v>
      </c>
      <c r="V154" s="8">
        <f t="shared" si="2"/>
        <v>98</v>
      </c>
      <c r="W154" s="8" t="str">
        <f t="shared" si="3"/>
        <v/>
      </c>
      <c r="X154" s="8" t="str">
        <f t="shared" si="4"/>
        <v>#N/A</v>
      </c>
    </row>
    <row r="155">
      <c r="A155" s="4">
        <f t="shared" si="5"/>
        <v>154</v>
      </c>
      <c r="B155" s="4" t="s">
        <v>280</v>
      </c>
      <c r="C155" s="4" t="s">
        <v>280</v>
      </c>
      <c r="D155" s="4" t="s">
        <v>8</v>
      </c>
      <c r="E155" s="4" t="s">
        <v>346</v>
      </c>
      <c r="F155" s="5">
        <v>0.5</v>
      </c>
      <c r="G155" s="10">
        <v>1.0</v>
      </c>
      <c r="H155" s="7"/>
      <c r="I155" s="7"/>
      <c r="J155" s="7"/>
      <c r="K155" s="7"/>
      <c r="L155" s="7"/>
      <c r="M155" s="7"/>
      <c r="N155" s="7"/>
      <c r="O155" s="7"/>
      <c r="P155" s="7"/>
      <c r="Q155" s="7"/>
      <c r="U155" s="8">
        <f t="shared" si="1"/>
        <v>0.5</v>
      </c>
      <c r="V155" s="8">
        <f t="shared" si="2"/>
        <v>120</v>
      </c>
      <c r="W155" s="8" t="str">
        <f t="shared" si="3"/>
        <v/>
      </c>
      <c r="X155" s="8" t="str">
        <f t="shared" si="4"/>
        <v>#N/A</v>
      </c>
    </row>
    <row r="156">
      <c r="A156" s="4">
        <f t="shared" si="5"/>
        <v>155</v>
      </c>
      <c r="B156" s="4" t="s">
        <v>288</v>
      </c>
      <c r="C156" s="4" t="s">
        <v>273</v>
      </c>
      <c r="D156" s="4" t="s">
        <v>8</v>
      </c>
      <c r="E156" s="4" t="s">
        <v>347</v>
      </c>
      <c r="F156" s="5">
        <v>0.6</v>
      </c>
      <c r="G156" s="10">
        <v>5.0</v>
      </c>
      <c r="H156" s="7"/>
      <c r="I156" s="7"/>
      <c r="J156" s="7"/>
      <c r="K156" s="7"/>
      <c r="L156" s="7"/>
      <c r="M156" s="7"/>
      <c r="N156" s="7"/>
      <c r="O156" s="7"/>
      <c r="P156" s="7"/>
      <c r="Q156" s="7"/>
      <c r="U156" s="8">
        <f t="shared" si="1"/>
        <v>0.6</v>
      </c>
      <c r="V156" s="8">
        <f t="shared" si="2"/>
        <v>112</v>
      </c>
      <c r="W156" s="8" t="str">
        <f t="shared" si="3"/>
        <v/>
      </c>
      <c r="X156" s="8" t="str">
        <f t="shared" si="4"/>
        <v>#N/A</v>
      </c>
    </row>
    <row r="157">
      <c r="A157" s="4">
        <f t="shared" si="5"/>
        <v>156</v>
      </c>
      <c r="B157" s="4" t="s">
        <v>281</v>
      </c>
      <c r="C157" s="4" t="s">
        <v>281</v>
      </c>
      <c r="D157" s="4" t="s">
        <v>8</v>
      </c>
      <c r="E157" s="4" t="s">
        <v>169</v>
      </c>
      <c r="F157" s="5">
        <v>0.5</v>
      </c>
      <c r="G157" s="10">
        <v>1.0</v>
      </c>
      <c r="H157" s="7"/>
      <c r="I157" s="7"/>
      <c r="J157" s="7"/>
      <c r="K157" s="7"/>
      <c r="L157" s="7"/>
      <c r="M157" s="7"/>
      <c r="N157" s="7"/>
      <c r="O157" s="7"/>
      <c r="P157" s="7"/>
      <c r="Q157" s="7"/>
      <c r="U157" s="8">
        <f t="shared" si="1"/>
        <v>0.5</v>
      </c>
      <c r="V157" s="8">
        <f t="shared" si="2"/>
        <v>120</v>
      </c>
      <c r="W157" s="8" t="str">
        <f t="shared" si="3"/>
        <v/>
      </c>
      <c r="X157" s="8" t="str">
        <f t="shared" si="4"/>
        <v>#N/A</v>
      </c>
    </row>
    <row r="158">
      <c r="A158" s="4">
        <f t="shared" si="5"/>
        <v>157</v>
      </c>
      <c r="B158" s="4" t="s">
        <v>293</v>
      </c>
      <c r="C158" s="4" t="s">
        <v>293</v>
      </c>
      <c r="D158" s="4" t="s">
        <v>8</v>
      </c>
      <c r="E158" s="4" t="s">
        <v>348</v>
      </c>
      <c r="F158" s="5">
        <v>0.5</v>
      </c>
      <c r="G158" s="10">
        <v>1.0</v>
      </c>
      <c r="H158" s="7"/>
      <c r="I158" s="7"/>
      <c r="J158" s="7"/>
      <c r="K158" s="7"/>
      <c r="L158" s="7"/>
      <c r="M158" s="7"/>
      <c r="N158" s="7"/>
      <c r="O158" s="7"/>
      <c r="P158" s="7"/>
      <c r="Q158" s="7"/>
      <c r="U158" s="8">
        <f t="shared" si="1"/>
        <v>0.5</v>
      </c>
      <c r="V158" s="8">
        <f t="shared" si="2"/>
        <v>120</v>
      </c>
      <c r="W158" s="8" t="str">
        <f t="shared" si="3"/>
        <v/>
      </c>
      <c r="X158" s="8" t="str">
        <f t="shared" si="4"/>
        <v>#N/A</v>
      </c>
    </row>
    <row r="159">
      <c r="A159" s="4">
        <f t="shared" si="5"/>
        <v>158</v>
      </c>
      <c r="B159" s="4" t="s">
        <v>273</v>
      </c>
      <c r="C159" s="4" t="s">
        <v>273</v>
      </c>
      <c r="D159" s="4" t="s">
        <v>8</v>
      </c>
      <c r="E159" s="4" t="s">
        <v>147</v>
      </c>
      <c r="F159" s="5">
        <v>0.5</v>
      </c>
      <c r="G159" s="10">
        <v>1.0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U159" s="8">
        <f t="shared" si="1"/>
        <v>0.5</v>
      </c>
      <c r="V159" s="8">
        <f t="shared" si="2"/>
        <v>120</v>
      </c>
      <c r="W159" s="8" t="str">
        <f t="shared" si="3"/>
        <v/>
      </c>
      <c r="X159" s="8" t="str">
        <f t="shared" si="4"/>
        <v>#N/A</v>
      </c>
    </row>
    <row r="160">
      <c r="A160" s="4">
        <f t="shared" si="5"/>
        <v>159</v>
      </c>
      <c r="B160" s="4" t="s">
        <v>288</v>
      </c>
      <c r="C160" s="4" t="s">
        <v>288</v>
      </c>
      <c r="D160" s="4" t="s">
        <v>8</v>
      </c>
      <c r="E160" s="4" t="s">
        <v>349</v>
      </c>
      <c r="F160" s="5">
        <v>0.6</v>
      </c>
      <c r="G160" s="10">
        <v>1.0</v>
      </c>
      <c r="H160" s="7"/>
      <c r="I160" s="7"/>
      <c r="J160" s="7"/>
      <c r="K160" s="7"/>
      <c r="L160" s="7"/>
      <c r="M160" s="7"/>
      <c r="N160" s="7"/>
      <c r="O160" s="7"/>
      <c r="P160" s="7"/>
      <c r="Q160" s="7"/>
      <c r="U160" s="8">
        <f t="shared" si="1"/>
        <v>0.6</v>
      </c>
      <c r="V160" s="8">
        <f t="shared" si="2"/>
        <v>112</v>
      </c>
      <c r="W160" s="8" t="str">
        <f t="shared" si="3"/>
        <v/>
      </c>
      <c r="X160" s="8" t="str">
        <f t="shared" si="4"/>
        <v>#N/A</v>
      </c>
    </row>
    <row r="161">
      <c r="A161" s="4">
        <f t="shared" si="5"/>
        <v>160</v>
      </c>
      <c r="B161" s="4" t="s">
        <v>293</v>
      </c>
      <c r="C161" s="4" t="s">
        <v>293</v>
      </c>
      <c r="D161" s="4" t="s">
        <v>8</v>
      </c>
      <c r="E161" s="4" t="s">
        <v>350</v>
      </c>
      <c r="F161" s="5">
        <v>0.5</v>
      </c>
      <c r="G161" s="10">
        <v>1.0</v>
      </c>
      <c r="H161" s="7"/>
      <c r="I161" s="7"/>
      <c r="J161" s="7"/>
      <c r="K161" s="7"/>
      <c r="L161" s="7"/>
      <c r="M161" s="7"/>
      <c r="N161" s="7"/>
      <c r="O161" s="7"/>
      <c r="P161" s="7"/>
      <c r="Q161" s="7"/>
      <c r="U161" s="8">
        <f t="shared" si="1"/>
        <v>0.5</v>
      </c>
      <c r="V161" s="8">
        <f t="shared" si="2"/>
        <v>120</v>
      </c>
      <c r="W161" s="8" t="str">
        <f t="shared" si="3"/>
        <v/>
      </c>
      <c r="X161" s="8" t="str">
        <f t="shared" si="4"/>
        <v>#N/A</v>
      </c>
    </row>
    <row r="162">
      <c r="A162" s="4">
        <f t="shared" si="5"/>
        <v>161</v>
      </c>
      <c r="B162" s="4" t="s">
        <v>288</v>
      </c>
      <c r="C162" s="4" t="s">
        <v>288</v>
      </c>
      <c r="D162" s="4" t="s">
        <v>8</v>
      </c>
      <c r="E162" s="4" t="s">
        <v>351</v>
      </c>
      <c r="F162" s="5">
        <v>0.5</v>
      </c>
      <c r="G162" s="10">
        <v>1.0</v>
      </c>
      <c r="H162" s="7"/>
      <c r="I162" s="7"/>
      <c r="J162" s="7"/>
      <c r="K162" s="7"/>
      <c r="L162" s="7"/>
      <c r="M162" s="7"/>
      <c r="N162" s="7"/>
      <c r="O162" s="7"/>
      <c r="P162" s="7"/>
      <c r="Q162" s="7"/>
      <c r="U162" s="8">
        <f t="shared" si="1"/>
        <v>0.5</v>
      </c>
      <c r="V162" s="8">
        <f t="shared" si="2"/>
        <v>120</v>
      </c>
      <c r="W162" s="8" t="str">
        <f t="shared" si="3"/>
        <v/>
      </c>
      <c r="X162" s="8" t="str">
        <f t="shared" si="4"/>
        <v>#N/A</v>
      </c>
    </row>
    <row r="163">
      <c r="A163" s="4">
        <f t="shared" si="5"/>
        <v>162</v>
      </c>
      <c r="B163" s="4" t="s">
        <v>293</v>
      </c>
      <c r="C163" s="4" t="s">
        <v>293</v>
      </c>
      <c r="D163" s="4" t="s">
        <v>8</v>
      </c>
      <c r="E163" s="4" t="s">
        <v>352</v>
      </c>
      <c r="F163" s="5">
        <v>0.5</v>
      </c>
      <c r="G163" s="10">
        <v>1.0</v>
      </c>
      <c r="H163" s="7"/>
      <c r="I163" s="7"/>
      <c r="J163" s="7"/>
      <c r="K163" s="7"/>
      <c r="L163" s="7"/>
      <c r="M163" s="7"/>
      <c r="N163" s="7"/>
      <c r="O163" s="7"/>
      <c r="P163" s="7"/>
      <c r="Q163" s="7"/>
      <c r="U163" s="8">
        <f t="shared" si="1"/>
        <v>0.5</v>
      </c>
      <c r="V163" s="8">
        <f t="shared" si="2"/>
        <v>120</v>
      </c>
      <c r="W163" s="8" t="str">
        <f t="shared" si="3"/>
        <v/>
      </c>
      <c r="X163" s="8" t="str">
        <f t="shared" si="4"/>
        <v>#N/A</v>
      </c>
    </row>
    <row r="164">
      <c r="A164" s="4">
        <f t="shared" si="5"/>
        <v>163</v>
      </c>
      <c r="B164" s="4" t="s">
        <v>288</v>
      </c>
      <c r="C164" s="4" t="s">
        <v>288</v>
      </c>
      <c r="D164" s="4" t="s">
        <v>8</v>
      </c>
      <c r="E164" s="4" t="s">
        <v>353</v>
      </c>
      <c r="F164" s="5">
        <v>0.5</v>
      </c>
      <c r="G164" s="10">
        <v>3.0</v>
      </c>
      <c r="H164" s="7"/>
      <c r="I164" s="7"/>
      <c r="J164" s="7"/>
      <c r="K164" s="7"/>
      <c r="L164" s="7"/>
      <c r="M164" s="7"/>
      <c r="N164" s="7"/>
      <c r="O164" s="7"/>
      <c r="P164" s="7"/>
      <c r="Q164" s="7"/>
      <c r="U164" s="8">
        <f t="shared" si="1"/>
        <v>0.5</v>
      </c>
      <c r="V164" s="8">
        <f t="shared" si="2"/>
        <v>120</v>
      </c>
      <c r="W164" s="8" t="str">
        <f t="shared" si="3"/>
        <v/>
      </c>
      <c r="X164" s="8" t="str">
        <f t="shared" si="4"/>
        <v>#N/A</v>
      </c>
    </row>
    <row r="165">
      <c r="A165" s="4">
        <f t="shared" si="5"/>
        <v>164</v>
      </c>
      <c r="B165" s="4" t="s">
        <v>288</v>
      </c>
      <c r="C165" s="4" t="s">
        <v>288</v>
      </c>
      <c r="D165" s="4" t="s">
        <v>8</v>
      </c>
      <c r="E165" s="4" t="s">
        <v>354</v>
      </c>
      <c r="F165" s="5">
        <v>0.5</v>
      </c>
      <c r="G165" s="10">
        <v>2.0</v>
      </c>
      <c r="H165" s="7"/>
      <c r="I165" s="7"/>
      <c r="J165" s="7"/>
      <c r="K165" s="7"/>
      <c r="L165" s="7"/>
      <c r="M165" s="7"/>
      <c r="N165" s="7"/>
      <c r="O165" s="7"/>
      <c r="P165" s="7"/>
      <c r="Q165" s="7"/>
      <c r="U165" s="8">
        <f t="shared" si="1"/>
        <v>0.5</v>
      </c>
      <c r="V165" s="8">
        <f t="shared" si="2"/>
        <v>120</v>
      </c>
      <c r="W165" s="8" t="str">
        <f t="shared" si="3"/>
        <v/>
      </c>
      <c r="X165" s="8" t="str">
        <f t="shared" si="4"/>
        <v>#N/A</v>
      </c>
    </row>
  </sheetData>
  <mergeCells count="6">
    <mergeCell ref="H4:L4"/>
    <mergeCell ref="H21:J21"/>
    <mergeCell ref="H25:K25"/>
    <mergeCell ref="H27:K27"/>
    <mergeCell ref="H46:I46"/>
    <mergeCell ref="H50:K5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U1" s="3" t="s">
        <v>8</v>
      </c>
      <c r="V1" s="3" t="s">
        <v>9</v>
      </c>
      <c r="W1" s="3" t="s">
        <v>10</v>
      </c>
      <c r="X1" s="3" t="s">
        <v>11</v>
      </c>
    </row>
    <row r="2">
      <c r="A2" s="4">
        <v>1.0</v>
      </c>
      <c r="B2" s="4" t="s">
        <v>273</v>
      </c>
      <c r="C2" s="4" t="s">
        <v>287</v>
      </c>
      <c r="D2" s="4" t="s">
        <v>10</v>
      </c>
      <c r="E2" s="4" t="s">
        <v>355</v>
      </c>
      <c r="F2" s="5">
        <v>8.0</v>
      </c>
      <c r="G2" s="5">
        <v>4.0</v>
      </c>
      <c r="H2" s="6"/>
      <c r="I2" s="6"/>
      <c r="J2" s="6"/>
      <c r="K2" s="6"/>
      <c r="L2" s="7"/>
      <c r="M2" s="7"/>
      <c r="N2" s="7"/>
      <c r="O2" s="7"/>
      <c r="P2" s="7"/>
      <c r="Q2" s="7"/>
      <c r="U2" s="8" t="str">
        <f t="shared" ref="U2:U173" si="1">if($D2=U$1,$F2,"")</f>
        <v/>
      </c>
      <c r="V2" s="8" t="str">
        <f t="shared" ref="V2:V173" si="2">rank(U2,$U$2:$U$173)</f>
        <v>#N/A</v>
      </c>
      <c r="W2" s="8">
        <f t="shared" ref="W2:W173" si="3">if($D2=W$1,$F2,"")</f>
        <v>8</v>
      </c>
      <c r="X2" s="8">
        <f t="shared" ref="X2:X173" si="4">rank(W2,$W$2:$W$173)</f>
        <v>2</v>
      </c>
    </row>
    <row r="3">
      <c r="A3" s="4">
        <f t="shared" ref="A3:A173" si="5">A2+1</f>
        <v>2</v>
      </c>
      <c r="B3" s="4" t="s">
        <v>273</v>
      </c>
      <c r="C3" s="4" t="s">
        <v>293</v>
      </c>
      <c r="D3" s="4" t="s">
        <v>8</v>
      </c>
      <c r="E3" s="4" t="s">
        <v>356</v>
      </c>
      <c r="F3" s="5">
        <v>7.9</v>
      </c>
      <c r="G3" s="5">
        <v>1.0</v>
      </c>
      <c r="H3" s="7"/>
      <c r="I3" s="7"/>
      <c r="J3" s="7"/>
      <c r="K3" s="7"/>
      <c r="L3" s="7"/>
      <c r="M3" s="7"/>
      <c r="N3" s="7"/>
      <c r="O3" s="7"/>
      <c r="P3" s="7"/>
      <c r="Q3" s="7"/>
      <c r="U3" s="8">
        <f t="shared" si="1"/>
        <v>7.9</v>
      </c>
      <c r="V3" s="8">
        <f t="shared" si="2"/>
        <v>2</v>
      </c>
      <c r="W3" s="8" t="str">
        <f t="shared" si="3"/>
        <v/>
      </c>
      <c r="X3" s="8" t="str">
        <f t="shared" si="4"/>
        <v>#N/A</v>
      </c>
    </row>
    <row r="4">
      <c r="A4" s="4">
        <f t="shared" si="5"/>
        <v>3</v>
      </c>
      <c r="B4" s="4" t="s">
        <v>287</v>
      </c>
      <c r="C4" s="4" t="s">
        <v>280</v>
      </c>
      <c r="D4" s="4" t="s">
        <v>10</v>
      </c>
      <c r="E4" s="4" t="s">
        <v>357</v>
      </c>
      <c r="F4" s="5">
        <v>6.0</v>
      </c>
      <c r="G4" s="5">
        <v>4.0</v>
      </c>
      <c r="H4" s="4"/>
      <c r="I4" s="4"/>
      <c r="J4" s="4"/>
      <c r="K4" s="4"/>
      <c r="L4" s="4"/>
      <c r="M4" s="7"/>
      <c r="N4" s="7"/>
      <c r="O4" s="7"/>
      <c r="P4" s="7"/>
      <c r="Q4" s="7"/>
      <c r="U4" s="8" t="str">
        <f t="shared" si="1"/>
        <v/>
      </c>
      <c r="V4" s="8" t="str">
        <f t="shared" si="2"/>
        <v>#N/A</v>
      </c>
      <c r="W4" s="8">
        <f t="shared" si="3"/>
        <v>6</v>
      </c>
      <c r="X4" s="8">
        <f t="shared" si="4"/>
        <v>4</v>
      </c>
    </row>
    <row r="5">
      <c r="A5" s="4">
        <f t="shared" si="5"/>
        <v>4</v>
      </c>
      <c r="B5" s="4" t="s">
        <v>287</v>
      </c>
      <c r="C5" s="4" t="s">
        <v>285</v>
      </c>
      <c r="D5" s="4" t="s">
        <v>8</v>
      </c>
      <c r="E5" s="4" t="s">
        <v>208</v>
      </c>
      <c r="F5" s="5">
        <v>5.4</v>
      </c>
      <c r="G5" s="5">
        <v>1.0</v>
      </c>
      <c r="H5" s="7"/>
      <c r="I5" s="7"/>
      <c r="J5" s="7"/>
      <c r="K5" s="7"/>
      <c r="L5" s="7"/>
      <c r="M5" s="7"/>
      <c r="N5" s="7"/>
      <c r="O5" s="7"/>
      <c r="P5" s="7"/>
      <c r="Q5" s="7"/>
      <c r="U5" s="8">
        <f t="shared" si="1"/>
        <v>5.4</v>
      </c>
      <c r="V5" s="8">
        <f t="shared" si="2"/>
        <v>14</v>
      </c>
      <c r="W5" s="8" t="str">
        <f t="shared" si="3"/>
        <v/>
      </c>
      <c r="X5" s="8" t="str">
        <f t="shared" si="4"/>
        <v>#N/A</v>
      </c>
    </row>
    <row r="6">
      <c r="A6" s="4">
        <f t="shared" si="5"/>
        <v>5</v>
      </c>
      <c r="B6" s="4" t="s">
        <v>280</v>
      </c>
      <c r="C6" s="4" t="s">
        <v>293</v>
      </c>
      <c r="D6" s="4" t="s">
        <v>10</v>
      </c>
      <c r="E6" s="4" t="s">
        <v>358</v>
      </c>
      <c r="F6" s="5">
        <v>5.0</v>
      </c>
      <c r="G6" s="5">
        <v>6.0</v>
      </c>
      <c r="H6" s="7"/>
      <c r="I6" s="7"/>
      <c r="J6" s="7"/>
      <c r="K6" s="9"/>
      <c r="L6" s="7"/>
      <c r="M6" s="7"/>
      <c r="N6" s="7"/>
      <c r="O6" s="7"/>
      <c r="P6" s="7"/>
      <c r="Q6" s="7"/>
      <c r="U6" s="8" t="str">
        <f t="shared" si="1"/>
        <v/>
      </c>
      <c r="V6" s="8" t="str">
        <f t="shared" si="2"/>
        <v>#N/A</v>
      </c>
      <c r="W6" s="8">
        <f t="shared" si="3"/>
        <v>5</v>
      </c>
      <c r="X6" s="8">
        <f t="shared" si="4"/>
        <v>6</v>
      </c>
    </row>
    <row r="7">
      <c r="A7" s="4">
        <f t="shared" si="5"/>
        <v>6</v>
      </c>
      <c r="B7" s="4" t="s">
        <v>280</v>
      </c>
      <c r="C7" s="4" t="s">
        <v>280</v>
      </c>
      <c r="D7" s="4" t="s">
        <v>8</v>
      </c>
      <c r="E7" s="4" t="s">
        <v>324</v>
      </c>
      <c r="F7" s="5">
        <v>6.0</v>
      </c>
      <c r="G7" s="5">
        <v>1.0</v>
      </c>
      <c r="H7" s="7"/>
      <c r="I7" s="7"/>
      <c r="J7" s="7"/>
      <c r="K7" s="7"/>
      <c r="L7" s="7"/>
      <c r="M7" s="7"/>
      <c r="N7" s="7"/>
      <c r="O7" s="7"/>
      <c r="P7" s="7"/>
      <c r="Q7" s="7"/>
      <c r="U7" s="8">
        <f t="shared" si="1"/>
        <v>6</v>
      </c>
      <c r="V7" s="8">
        <f t="shared" si="2"/>
        <v>7</v>
      </c>
      <c r="W7" s="8" t="str">
        <f t="shared" si="3"/>
        <v/>
      </c>
      <c r="X7" s="8" t="str">
        <f t="shared" si="4"/>
        <v>#N/A</v>
      </c>
    </row>
    <row r="8">
      <c r="A8" s="4">
        <f t="shared" si="5"/>
        <v>7</v>
      </c>
      <c r="B8" s="4" t="s">
        <v>285</v>
      </c>
      <c r="C8" s="4" t="s">
        <v>284</v>
      </c>
      <c r="D8" s="4" t="s">
        <v>10</v>
      </c>
      <c r="E8" s="4" t="s">
        <v>359</v>
      </c>
      <c r="F8" s="5">
        <v>3.3</v>
      </c>
      <c r="G8" s="5">
        <v>6.0</v>
      </c>
      <c r="H8" s="6" t="s">
        <v>360</v>
      </c>
      <c r="I8" s="7"/>
      <c r="J8" s="7"/>
      <c r="K8" s="7"/>
      <c r="L8" s="7"/>
      <c r="M8" s="7"/>
      <c r="N8" s="7"/>
      <c r="O8" s="7"/>
      <c r="P8" s="7"/>
      <c r="Q8" s="7"/>
      <c r="U8" s="8" t="str">
        <f t="shared" si="1"/>
        <v/>
      </c>
      <c r="V8" s="8" t="str">
        <f t="shared" si="2"/>
        <v>#N/A</v>
      </c>
      <c r="W8" s="8">
        <f t="shared" si="3"/>
        <v>3.3</v>
      </c>
      <c r="X8" s="8">
        <f t="shared" si="4"/>
        <v>13</v>
      </c>
    </row>
    <row r="9">
      <c r="A9" s="4">
        <f t="shared" si="5"/>
        <v>8</v>
      </c>
      <c r="B9" s="4" t="s">
        <v>285</v>
      </c>
      <c r="C9" s="4" t="s">
        <v>280</v>
      </c>
      <c r="D9" s="4" t="s">
        <v>8</v>
      </c>
      <c r="E9" s="4" t="s">
        <v>210</v>
      </c>
      <c r="F9" s="5">
        <v>2.2</v>
      </c>
      <c r="G9" s="5">
        <v>1.0</v>
      </c>
      <c r="H9" s="7"/>
      <c r="I9" s="7"/>
      <c r="J9" s="7"/>
      <c r="K9" s="7"/>
      <c r="L9" s="7"/>
      <c r="M9" s="7"/>
      <c r="N9" s="7"/>
      <c r="O9" s="7"/>
      <c r="P9" s="7"/>
      <c r="Q9" s="7"/>
      <c r="U9" s="8">
        <f t="shared" si="1"/>
        <v>2.2</v>
      </c>
      <c r="V9" s="8">
        <f t="shared" si="2"/>
        <v>38</v>
      </c>
      <c r="W9" s="8" t="str">
        <f t="shared" si="3"/>
        <v/>
      </c>
      <c r="X9" s="8" t="str">
        <f t="shared" si="4"/>
        <v>#N/A</v>
      </c>
    </row>
    <row r="10">
      <c r="A10" s="4">
        <f t="shared" si="5"/>
        <v>9</v>
      </c>
      <c r="B10" s="4" t="s">
        <v>293</v>
      </c>
      <c r="C10" s="4" t="s">
        <v>281</v>
      </c>
      <c r="D10" s="4" t="s">
        <v>10</v>
      </c>
      <c r="E10" s="4" t="s">
        <v>361</v>
      </c>
      <c r="F10" s="5">
        <v>5.2</v>
      </c>
      <c r="G10" s="5">
        <v>5.0</v>
      </c>
      <c r="H10" s="6" t="s">
        <v>362</v>
      </c>
      <c r="I10" s="6" t="s">
        <v>363</v>
      </c>
      <c r="J10" s="7"/>
      <c r="K10" s="7"/>
      <c r="L10" s="7"/>
      <c r="M10" s="7"/>
      <c r="N10" s="7"/>
      <c r="O10" s="7"/>
      <c r="P10" s="7"/>
      <c r="Q10" s="7"/>
      <c r="U10" s="8" t="str">
        <f t="shared" si="1"/>
        <v/>
      </c>
      <c r="V10" s="8" t="str">
        <f t="shared" si="2"/>
        <v>#N/A</v>
      </c>
      <c r="W10" s="8">
        <f t="shared" si="3"/>
        <v>5.2</v>
      </c>
      <c r="X10" s="8">
        <f t="shared" si="4"/>
        <v>5</v>
      </c>
    </row>
    <row r="11">
      <c r="A11" s="4">
        <f t="shared" si="5"/>
        <v>10</v>
      </c>
      <c r="B11" s="4" t="s">
        <v>293</v>
      </c>
      <c r="C11" s="4" t="s">
        <v>294</v>
      </c>
      <c r="D11" s="4" t="s">
        <v>8</v>
      </c>
      <c r="E11" s="4" t="s">
        <v>88</v>
      </c>
      <c r="F11" s="5">
        <v>6.1</v>
      </c>
      <c r="G11" s="5">
        <v>2.0</v>
      </c>
      <c r="H11" s="7"/>
      <c r="I11" s="7"/>
      <c r="J11" s="7"/>
      <c r="K11" s="7"/>
      <c r="L11" s="7"/>
      <c r="M11" s="7"/>
      <c r="N11" s="7"/>
      <c r="O11" s="7"/>
      <c r="P11" s="7"/>
      <c r="Q11" s="7"/>
      <c r="U11" s="8">
        <f t="shared" si="1"/>
        <v>6.1</v>
      </c>
      <c r="V11" s="8">
        <f t="shared" si="2"/>
        <v>5</v>
      </c>
      <c r="W11" s="8" t="str">
        <f t="shared" si="3"/>
        <v/>
      </c>
      <c r="X11" s="8" t="str">
        <f t="shared" si="4"/>
        <v>#N/A</v>
      </c>
    </row>
    <row r="12">
      <c r="A12" s="4">
        <f t="shared" si="5"/>
        <v>11</v>
      </c>
      <c r="B12" s="4" t="s">
        <v>288</v>
      </c>
      <c r="C12" s="4" t="s">
        <v>281</v>
      </c>
      <c r="D12" s="4" t="s">
        <v>10</v>
      </c>
      <c r="E12" s="4" t="s">
        <v>31</v>
      </c>
      <c r="F12" s="5">
        <v>3.2</v>
      </c>
      <c r="G12" s="5">
        <v>3.0</v>
      </c>
      <c r="H12" s="7"/>
      <c r="I12" s="7"/>
      <c r="J12" s="7"/>
      <c r="K12" s="7"/>
      <c r="L12" s="7"/>
      <c r="M12" s="7"/>
      <c r="N12" s="7"/>
      <c r="O12" s="7"/>
      <c r="P12" s="7"/>
      <c r="Q12" s="7"/>
      <c r="U12" s="8" t="str">
        <f t="shared" si="1"/>
        <v/>
      </c>
      <c r="V12" s="8" t="str">
        <f t="shared" si="2"/>
        <v>#N/A</v>
      </c>
      <c r="W12" s="8">
        <f t="shared" si="3"/>
        <v>3.2</v>
      </c>
      <c r="X12" s="8">
        <f t="shared" si="4"/>
        <v>14</v>
      </c>
    </row>
    <row r="13">
      <c r="A13" s="4">
        <f t="shared" si="5"/>
        <v>12</v>
      </c>
      <c r="B13" s="4" t="s">
        <v>288</v>
      </c>
      <c r="C13" s="4" t="s">
        <v>286</v>
      </c>
      <c r="D13" s="4" t="s">
        <v>8</v>
      </c>
      <c r="E13" s="4" t="s">
        <v>40</v>
      </c>
      <c r="F13" s="5">
        <v>5.4</v>
      </c>
      <c r="G13" s="5">
        <v>1.0</v>
      </c>
      <c r="H13" s="7"/>
      <c r="I13" s="7"/>
      <c r="J13" s="7"/>
      <c r="K13" s="7"/>
      <c r="L13" s="7"/>
      <c r="M13" s="7"/>
      <c r="N13" s="7"/>
      <c r="O13" s="7"/>
      <c r="P13" s="7"/>
      <c r="Q13" s="7"/>
      <c r="U13" s="8">
        <f t="shared" si="1"/>
        <v>5.4</v>
      </c>
      <c r="V13" s="8">
        <f t="shared" si="2"/>
        <v>14</v>
      </c>
      <c r="W13" s="8" t="str">
        <f t="shared" si="3"/>
        <v/>
      </c>
      <c r="X13" s="8" t="str">
        <f t="shared" si="4"/>
        <v>#N/A</v>
      </c>
    </row>
    <row r="14">
      <c r="A14" s="4">
        <f t="shared" si="5"/>
        <v>13</v>
      </c>
      <c r="B14" s="4" t="s">
        <v>281</v>
      </c>
      <c r="C14" s="4" t="s">
        <v>294</v>
      </c>
      <c r="D14" s="4" t="s">
        <v>10</v>
      </c>
      <c r="E14" s="4" t="s">
        <v>364</v>
      </c>
      <c r="F14" s="5">
        <v>6.9</v>
      </c>
      <c r="G14" s="5">
        <v>4.0</v>
      </c>
      <c r="H14" s="6" t="s">
        <v>365</v>
      </c>
      <c r="I14" s="6" t="s">
        <v>366</v>
      </c>
      <c r="J14" s="6" t="s">
        <v>367</v>
      </c>
      <c r="K14" s="6" t="s">
        <v>368</v>
      </c>
      <c r="L14" s="7"/>
      <c r="M14" s="7"/>
      <c r="N14" s="7"/>
      <c r="O14" s="7"/>
      <c r="P14" s="7"/>
      <c r="Q14" s="7"/>
      <c r="U14" s="8" t="str">
        <f t="shared" si="1"/>
        <v/>
      </c>
      <c r="V14" s="8" t="str">
        <f t="shared" si="2"/>
        <v>#N/A</v>
      </c>
      <c r="W14" s="8">
        <f t="shared" si="3"/>
        <v>6.9</v>
      </c>
      <c r="X14" s="8">
        <f t="shared" si="4"/>
        <v>3</v>
      </c>
    </row>
    <row r="15">
      <c r="A15" s="4">
        <f t="shared" si="5"/>
        <v>14</v>
      </c>
      <c r="B15" s="4" t="s">
        <v>281</v>
      </c>
      <c r="C15" s="4" t="s">
        <v>288</v>
      </c>
      <c r="D15" s="4" t="s">
        <v>8</v>
      </c>
      <c r="E15" s="4" t="s">
        <v>30</v>
      </c>
      <c r="F15" s="5">
        <v>8.8</v>
      </c>
      <c r="G15" s="5">
        <v>1.0</v>
      </c>
      <c r="H15" s="7"/>
      <c r="I15" s="7"/>
      <c r="J15" s="7"/>
      <c r="K15" s="7"/>
      <c r="L15" s="7"/>
      <c r="M15" s="7"/>
      <c r="N15" s="7"/>
      <c r="O15" s="7"/>
      <c r="P15" s="7"/>
      <c r="Q15" s="7"/>
      <c r="U15" s="8">
        <f t="shared" si="1"/>
        <v>8.8</v>
      </c>
      <c r="V15" s="8">
        <f t="shared" si="2"/>
        <v>1</v>
      </c>
      <c r="W15" s="8" t="str">
        <f t="shared" si="3"/>
        <v/>
      </c>
      <c r="X15" s="8" t="str">
        <f t="shared" si="4"/>
        <v>#N/A</v>
      </c>
    </row>
    <row r="16">
      <c r="A16" s="4">
        <f t="shared" si="5"/>
        <v>15</v>
      </c>
      <c r="B16" s="4" t="s">
        <v>294</v>
      </c>
      <c r="C16" s="4" t="s">
        <v>294</v>
      </c>
      <c r="D16" s="4" t="s">
        <v>10</v>
      </c>
      <c r="E16" s="4" t="s">
        <v>24</v>
      </c>
      <c r="F16" s="5">
        <v>9.2</v>
      </c>
      <c r="G16" s="5">
        <v>1.0</v>
      </c>
      <c r="H16" s="7"/>
      <c r="I16" s="7"/>
      <c r="J16" s="7"/>
      <c r="K16" s="7"/>
      <c r="L16" s="7"/>
      <c r="M16" s="7"/>
      <c r="N16" s="7"/>
      <c r="O16" s="7"/>
      <c r="P16" s="7"/>
      <c r="Q16" s="7"/>
      <c r="U16" s="8" t="str">
        <f t="shared" si="1"/>
        <v/>
      </c>
      <c r="V16" s="8" t="str">
        <f t="shared" si="2"/>
        <v>#N/A</v>
      </c>
      <c r="W16" s="8">
        <f t="shared" si="3"/>
        <v>9.2</v>
      </c>
      <c r="X16" s="8">
        <f t="shared" si="4"/>
        <v>1</v>
      </c>
    </row>
    <row r="17">
      <c r="A17" s="4">
        <f t="shared" si="5"/>
        <v>16</v>
      </c>
      <c r="B17" s="4" t="s">
        <v>294</v>
      </c>
      <c r="C17" s="4" t="s">
        <v>280</v>
      </c>
      <c r="D17" s="4" t="s">
        <v>8</v>
      </c>
      <c r="E17" s="4" t="s">
        <v>60</v>
      </c>
      <c r="F17" s="5">
        <v>4.7</v>
      </c>
      <c r="G17" s="5">
        <v>1.0</v>
      </c>
      <c r="H17" s="7"/>
      <c r="I17" s="7"/>
      <c r="J17" s="7"/>
      <c r="K17" s="7"/>
      <c r="L17" s="7"/>
      <c r="M17" s="7"/>
      <c r="N17" s="7"/>
      <c r="O17" s="7"/>
      <c r="P17" s="7"/>
      <c r="Q17" s="7"/>
      <c r="U17" s="8">
        <f t="shared" si="1"/>
        <v>4.7</v>
      </c>
      <c r="V17" s="8">
        <f t="shared" si="2"/>
        <v>18</v>
      </c>
      <c r="W17" s="8" t="str">
        <f t="shared" si="3"/>
        <v/>
      </c>
      <c r="X17" s="8" t="str">
        <f t="shared" si="4"/>
        <v>#N/A</v>
      </c>
    </row>
    <row r="18">
      <c r="A18" s="4">
        <f t="shared" si="5"/>
        <v>17</v>
      </c>
      <c r="B18" s="4" t="s">
        <v>286</v>
      </c>
      <c r="C18" s="4" t="s">
        <v>274</v>
      </c>
      <c r="D18" s="4" t="s">
        <v>8</v>
      </c>
      <c r="E18" s="4" t="s">
        <v>137</v>
      </c>
      <c r="F18" s="5">
        <v>1.8</v>
      </c>
      <c r="G18" s="5">
        <v>1.0</v>
      </c>
      <c r="H18" s="7"/>
      <c r="I18" s="7"/>
      <c r="J18" s="7"/>
      <c r="K18" s="7"/>
      <c r="L18" s="7"/>
      <c r="M18" s="7"/>
      <c r="N18" s="7"/>
      <c r="O18" s="7"/>
      <c r="P18" s="7"/>
      <c r="Q18" s="7"/>
      <c r="U18" s="8">
        <f t="shared" si="1"/>
        <v>1.8</v>
      </c>
      <c r="V18" s="8">
        <f t="shared" si="2"/>
        <v>53</v>
      </c>
      <c r="W18" s="8" t="str">
        <f t="shared" si="3"/>
        <v/>
      </c>
      <c r="X18" s="8" t="str">
        <f t="shared" si="4"/>
        <v>#N/A</v>
      </c>
    </row>
    <row r="19">
      <c r="A19" s="4">
        <f t="shared" si="5"/>
        <v>18</v>
      </c>
      <c r="B19" s="4" t="s">
        <v>284</v>
      </c>
      <c r="C19" s="4" t="s">
        <v>274</v>
      </c>
      <c r="D19" s="4" t="s">
        <v>10</v>
      </c>
      <c r="E19" s="4" t="s">
        <v>369</v>
      </c>
      <c r="F19" s="5">
        <v>5.0</v>
      </c>
      <c r="G19" s="5">
        <v>4.0</v>
      </c>
      <c r="H19" s="7"/>
      <c r="I19" s="7"/>
      <c r="J19" s="7"/>
      <c r="K19" s="7"/>
      <c r="L19" s="7"/>
      <c r="M19" s="7"/>
      <c r="N19" s="7"/>
      <c r="O19" s="7"/>
      <c r="P19" s="7"/>
      <c r="Q19" s="7"/>
      <c r="U19" s="8" t="str">
        <f t="shared" si="1"/>
        <v/>
      </c>
      <c r="V19" s="8" t="str">
        <f t="shared" si="2"/>
        <v>#N/A</v>
      </c>
      <c r="W19" s="8">
        <f t="shared" si="3"/>
        <v>5</v>
      </c>
      <c r="X19" s="8">
        <f t="shared" si="4"/>
        <v>6</v>
      </c>
    </row>
    <row r="20">
      <c r="A20" s="4">
        <f t="shared" si="5"/>
        <v>19</v>
      </c>
      <c r="B20" s="4" t="s">
        <v>284</v>
      </c>
      <c r="C20" s="4" t="s">
        <v>287</v>
      </c>
      <c r="D20" s="4" t="s">
        <v>8</v>
      </c>
      <c r="E20" s="4" t="s">
        <v>81</v>
      </c>
      <c r="F20" s="5">
        <v>6.1</v>
      </c>
      <c r="G20" s="5">
        <v>1.0</v>
      </c>
      <c r="H20" s="7"/>
      <c r="I20" s="7"/>
      <c r="J20" s="7"/>
      <c r="K20" s="7"/>
      <c r="L20" s="7"/>
      <c r="M20" s="7"/>
      <c r="N20" s="7"/>
      <c r="O20" s="7"/>
      <c r="P20" s="7"/>
      <c r="Q20" s="7"/>
      <c r="U20" s="8">
        <f t="shared" si="1"/>
        <v>6.1</v>
      </c>
      <c r="V20" s="8">
        <f t="shared" si="2"/>
        <v>5</v>
      </c>
      <c r="W20" s="8" t="str">
        <f t="shared" si="3"/>
        <v/>
      </c>
      <c r="X20" s="8" t="str">
        <f t="shared" si="4"/>
        <v>#N/A</v>
      </c>
    </row>
    <row r="21">
      <c r="A21" s="4">
        <f t="shared" si="5"/>
        <v>20</v>
      </c>
      <c r="B21" s="4" t="s">
        <v>274</v>
      </c>
      <c r="C21" s="4" t="s">
        <v>286</v>
      </c>
      <c r="D21" s="4" t="s">
        <v>10</v>
      </c>
      <c r="E21" s="4" t="s">
        <v>41</v>
      </c>
      <c r="F21" s="5">
        <v>4.5</v>
      </c>
      <c r="G21" s="5">
        <v>3.0</v>
      </c>
      <c r="H21" s="6"/>
      <c r="I21" s="6"/>
      <c r="J21" s="6"/>
      <c r="K21" s="7"/>
      <c r="L21" s="7"/>
      <c r="M21" s="7"/>
      <c r="N21" s="7"/>
      <c r="O21" s="7"/>
      <c r="P21" s="7"/>
      <c r="Q21" s="7"/>
      <c r="U21" s="8" t="str">
        <f t="shared" si="1"/>
        <v/>
      </c>
      <c r="V21" s="8" t="str">
        <f t="shared" si="2"/>
        <v>#N/A</v>
      </c>
      <c r="W21" s="8">
        <f t="shared" si="3"/>
        <v>4.5</v>
      </c>
      <c r="X21" s="8">
        <f t="shared" si="4"/>
        <v>8</v>
      </c>
    </row>
    <row r="22">
      <c r="A22" s="4">
        <f t="shared" si="5"/>
        <v>21</v>
      </c>
      <c r="B22" s="4" t="s">
        <v>274</v>
      </c>
      <c r="C22" s="4" t="s">
        <v>287</v>
      </c>
      <c r="D22" s="4" t="s">
        <v>8</v>
      </c>
      <c r="E22" s="4" t="s">
        <v>370</v>
      </c>
      <c r="F22" s="5">
        <v>5.5</v>
      </c>
      <c r="G22" s="5">
        <v>1.0</v>
      </c>
      <c r="H22" s="7"/>
      <c r="I22" s="7"/>
      <c r="J22" s="7"/>
      <c r="K22" s="7"/>
      <c r="L22" s="7"/>
      <c r="M22" s="7"/>
      <c r="N22" s="7"/>
      <c r="O22" s="7"/>
      <c r="P22" s="7"/>
      <c r="Q22" s="7"/>
      <c r="U22" s="8">
        <f t="shared" si="1"/>
        <v>5.5</v>
      </c>
      <c r="V22" s="8">
        <f t="shared" si="2"/>
        <v>13</v>
      </c>
      <c r="W22" s="8" t="str">
        <f t="shared" si="3"/>
        <v/>
      </c>
      <c r="X22" s="8" t="str">
        <f t="shared" si="4"/>
        <v>#N/A</v>
      </c>
    </row>
    <row r="23">
      <c r="A23" s="4">
        <f t="shared" si="5"/>
        <v>22</v>
      </c>
      <c r="B23" s="4" t="s">
        <v>273</v>
      </c>
      <c r="C23" s="4" t="s">
        <v>288</v>
      </c>
      <c r="D23" s="4" t="s">
        <v>10</v>
      </c>
      <c r="E23" s="4" t="s">
        <v>371</v>
      </c>
      <c r="F23" s="5">
        <v>3.8</v>
      </c>
      <c r="G23" s="5">
        <v>8.0</v>
      </c>
      <c r="H23" s="7"/>
      <c r="I23" s="7"/>
      <c r="J23" s="7"/>
      <c r="K23" s="7"/>
      <c r="L23" s="7"/>
      <c r="M23" s="7"/>
      <c r="N23" s="7"/>
      <c r="O23" s="7"/>
      <c r="P23" s="7"/>
      <c r="Q23" s="7"/>
      <c r="U23" s="8" t="str">
        <f t="shared" si="1"/>
        <v/>
      </c>
      <c r="V23" s="8" t="str">
        <f t="shared" si="2"/>
        <v>#N/A</v>
      </c>
      <c r="W23" s="8">
        <f t="shared" si="3"/>
        <v>3.8</v>
      </c>
      <c r="X23" s="8">
        <f t="shared" si="4"/>
        <v>11</v>
      </c>
    </row>
    <row r="24">
      <c r="A24" s="4">
        <f t="shared" si="5"/>
        <v>23</v>
      </c>
      <c r="B24" s="4" t="s">
        <v>273</v>
      </c>
      <c r="C24" s="4" t="s">
        <v>285</v>
      </c>
      <c r="D24" s="4" t="s">
        <v>8</v>
      </c>
      <c r="E24" s="4" t="s">
        <v>207</v>
      </c>
      <c r="F24" s="5">
        <v>3.1</v>
      </c>
      <c r="G24" s="5">
        <v>1.0</v>
      </c>
      <c r="H24" s="7"/>
      <c r="I24" s="7"/>
      <c r="J24" s="7"/>
      <c r="K24" s="7"/>
      <c r="L24" s="7"/>
      <c r="M24" s="7"/>
      <c r="N24" s="7"/>
      <c r="O24" s="7"/>
      <c r="P24" s="7"/>
      <c r="Q24" s="7"/>
      <c r="U24" s="8">
        <f t="shared" si="1"/>
        <v>3.1</v>
      </c>
      <c r="V24" s="8">
        <f t="shared" si="2"/>
        <v>29</v>
      </c>
      <c r="W24" s="8" t="str">
        <f t="shared" si="3"/>
        <v/>
      </c>
      <c r="X24" s="8" t="str">
        <f t="shared" si="4"/>
        <v>#N/A</v>
      </c>
    </row>
    <row r="25">
      <c r="A25" s="4">
        <f t="shared" si="5"/>
        <v>24</v>
      </c>
      <c r="B25" s="4" t="s">
        <v>287</v>
      </c>
      <c r="C25" s="4" t="s">
        <v>280</v>
      </c>
      <c r="D25" s="4" t="s">
        <v>10</v>
      </c>
      <c r="E25" s="4" t="s">
        <v>59</v>
      </c>
      <c r="F25" s="5">
        <v>2.0</v>
      </c>
      <c r="G25" s="5">
        <v>3.0</v>
      </c>
      <c r="H25" s="6"/>
      <c r="I25" s="6"/>
      <c r="J25" s="6"/>
      <c r="K25" s="6"/>
      <c r="L25" s="7"/>
      <c r="M25" s="7"/>
      <c r="N25" s="7"/>
      <c r="O25" s="7"/>
      <c r="P25" s="7"/>
      <c r="Q25" s="7"/>
      <c r="U25" s="8" t="str">
        <f t="shared" si="1"/>
        <v/>
      </c>
      <c r="V25" s="8" t="str">
        <f t="shared" si="2"/>
        <v>#N/A</v>
      </c>
      <c r="W25" s="8">
        <f t="shared" si="3"/>
        <v>2</v>
      </c>
      <c r="X25" s="8">
        <f t="shared" si="4"/>
        <v>21</v>
      </c>
    </row>
    <row r="26">
      <c r="A26" s="4">
        <f t="shared" si="5"/>
        <v>25</v>
      </c>
      <c r="B26" s="4" t="s">
        <v>287</v>
      </c>
      <c r="C26" s="4" t="s">
        <v>273</v>
      </c>
      <c r="D26" s="4" t="s">
        <v>8</v>
      </c>
      <c r="E26" s="4" t="s">
        <v>128</v>
      </c>
      <c r="F26" s="5">
        <v>5.6</v>
      </c>
      <c r="G26" s="5">
        <v>1.0</v>
      </c>
      <c r="H26" s="7"/>
      <c r="I26" s="7"/>
      <c r="J26" s="7"/>
      <c r="K26" s="7"/>
      <c r="L26" s="7"/>
      <c r="M26" s="7"/>
      <c r="N26" s="7"/>
      <c r="O26" s="7"/>
      <c r="P26" s="7"/>
      <c r="Q26" s="7"/>
      <c r="U26" s="8">
        <f t="shared" si="1"/>
        <v>5.6</v>
      </c>
      <c r="V26" s="8">
        <f t="shared" si="2"/>
        <v>12</v>
      </c>
      <c r="W26" s="8" t="str">
        <f t="shared" si="3"/>
        <v/>
      </c>
      <c r="X26" s="8" t="str">
        <f t="shared" si="4"/>
        <v>#N/A</v>
      </c>
    </row>
    <row r="27">
      <c r="A27" s="4">
        <f t="shared" si="5"/>
        <v>26</v>
      </c>
      <c r="B27" s="4" t="s">
        <v>280</v>
      </c>
      <c r="C27" s="4" t="s">
        <v>274</v>
      </c>
      <c r="D27" s="4" t="s">
        <v>10</v>
      </c>
      <c r="E27" s="4" t="s">
        <v>54</v>
      </c>
      <c r="F27" s="5">
        <v>3.6</v>
      </c>
      <c r="G27" s="5">
        <v>3.0</v>
      </c>
      <c r="H27" s="6" t="s">
        <v>372</v>
      </c>
      <c r="I27" s="6"/>
      <c r="J27" s="6"/>
      <c r="K27" s="6"/>
      <c r="L27" s="7"/>
      <c r="M27" s="7"/>
      <c r="N27" s="7"/>
      <c r="O27" s="7"/>
      <c r="P27" s="7"/>
      <c r="Q27" s="7"/>
      <c r="U27" s="8" t="str">
        <f t="shared" si="1"/>
        <v/>
      </c>
      <c r="V27" s="8" t="str">
        <f t="shared" si="2"/>
        <v>#N/A</v>
      </c>
      <c r="W27" s="8">
        <f t="shared" si="3"/>
        <v>3.6</v>
      </c>
      <c r="X27" s="8">
        <f t="shared" si="4"/>
        <v>12</v>
      </c>
    </row>
    <row r="28">
      <c r="A28" s="4">
        <f t="shared" si="5"/>
        <v>27</v>
      </c>
      <c r="B28" s="4" t="s">
        <v>280</v>
      </c>
      <c r="C28" s="4" t="s">
        <v>281</v>
      </c>
      <c r="D28" s="4" t="s">
        <v>8</v>
      </c>
      <c r="E28" s="4" t="s">
        <v>373</v>
      </c>
      <c r="F28" s="5">
        <v>4.7</v>
      </c>
      <c r="G28" s="5">
        <v>3.0</v>
      </c>
      <c r="H28" s="7"/>
      <c r="I28" s="7"/>
      <c r="J28" s="7"/>
      <c r="K28" s="7"/>
      <c r="L28" s="7"/>
      <c r="M28" s="7"/>
      <c r="N28" s="7"/>
      <c r="O28" s="7"/>
      <c r="P28" s="7"/>
      <c r="Q28" s="7"/>
      <c r="U28" s="8">
        <f t="shared" si="1"/>
        <v>4.7</v>
      </c>
      <c r="V28" s="8">
        <f t="shared" si="2"/>
        <v>18</v>
      </c>
      <c r="W28" s="8" t="str">
        <f t="shared" si="3"/>
        <v/>
      </c>
      <c r="X28" s="8" t="str">
        <f t="shared" si="4"/>
        <v>#N/A</v>
      </c>
    </row>
    <row r="29">
      <c r="A29" s="4">
        <f t="shared" si="5"/>
        <v>28</v>
      </c>
      <c r="B29" s="4" t="s">
        <v>285</v>
      </c>
      <c r="C29" s="4" t="s">
        <v>285</v>
      </c>
      <c r="D29" s="4" t="s">
        <v>10</v>
      </c>
      <c r="E29" s="4" t="s">
        <v>374</v>
      </c>
      <c r="F29" s="5">
        <v>0.5</v>
      </c>
      <c r="G29" s="10">
        <v>1.0</v>
      </c>
      <c r="H29" s="7"/>
      <c r="I29" s="7"/>
      <c r="J29" s="7"/>
      <c r="K29" s="7"/>
      <c r="L29" s="7"/>
      <c r="M29" s="7"/>
      <c r="N29" s="7"/>
      <c r="O29" s="7"/>
      <c r="P29" s="7"/>
      <c r="Q29" s="7"/>
      <c r="U29" s="8" t="str">
        <f t="shared" si="1"/>
        <v/>
      </c>
      <c r="V29" s="8" t="str">
        <f t="shared" si="2"/>
        <v>#N/A</v>
      </c>
      <c r="W29" s="8">
        <f t="shared" si="3"/>
        <v>0.5</v>
      </c>
      <c r="X29" s="8">
        <f t="shared" si="4"/>
        <v>31</v>
      </c>
    </row>
    <row r="30">
      <c r="A30" s="4">
        <f t="shared" si="5"/>
        <v>29</v>
      </c>
      <c r="B30" s="4" t="s">
        <v>285</v>
      </c>
      <c r="C30" s="4" t="s">
        <v>285</v>
      </c>
      <c r="D30" s="4" t="s">
        <v>8</v>
      </c>
      <c r="E30" s="4" t="s">
        <v>140</v>
      </c>
      <c r="F30" s="5">
        <v>1.9</v>
      </c>
      <c r="G30" s="10">
        <v>1.0</v>
      </c>
      <c r="H30" s="11"/>
      <c r="I30" s="7"/>
      <c r="J30" s="7"/>
      <c r="K30" s="7"/>
      <c r="L30" s="7"/>
      <c r="M30" s="7"/>
      <c r="N30" s="7"/>
      <c r="O30" s="7"/>
      <c r="P30" s="7"/>
      <c r="Q30" s="7"/>
      <c r="U30" s="8">
        <f t="shared" si="1"/>
        <v>1.9</v>
      </c>
      <c r="V30" s="8">
        <f t="shared" si="2"/>
        <v>48</v>
      </c>
      <c r="W30" s="8" t="str">
        <f t="shared" si="3"/>
        <v/>
      </c>
      <c r="X30" s="8" t="str">
        <f t="shared" si="4"/>
        <v>#N/A</v>
      </c>
    </row>
    <row r="31">
      <c r="A31" s="4">
        <f t="shared" si="5"/>
        <v>30</v>
      </c>
      <c r="B31" s="4" t="s">
        <v>293</v>
      </c>
      <c r="C31" s="4" t="s">
        <v>281</v>
      </c>
      <c r="D31" s="4" t="s">
        <v>10</v>
      </c>
      <c r="E31" s="4" t="s">
        <v>22</v>
      </c>
      <c r="F31" s="5">
        <v>3.2</v>
      </c>
      <c r="G31" s="10">
        <v>3.0</v>
      </c>
      <c r="H31" s="7"/>
      <c r="I31" s="7"/>
      <c r="J31" s="7"/>
      <c r="K31" s="7"/>
      <c r="L31" s="7"/>
      <c r="M31" s="7"/>
      <c r="N31" s="7"/>
      <c r="O31" s="7"/>
      <c r="P31" s="7"/>
      <c r="Q31" s="7"/>
      <c r="U31" s="8" t="str">
        <f t="shared" si="1"/>
        <v/>
      </c>
      <c r="V31" s="8" t="str">
        <f t="shared" si="2"/>
        <v>#N/A</v>
      </c>
      <c r="W31" s="8">
        <f t="shared" si="3"/>
        <v>3.2</v>
      </c>
      <c r="X31" s="8">
        <f t="shared" si="4"/>
        <v>14</v>
      </c>
    </row>
    <row r="32">
      <c r="A32" s="4">
        <f t="shared" si="5"/>
        <v>31</v>
      </c>
      <c r="B32" s="4" t="s">
        <v>293</v>
      </c>
      <c r="C32" s="4" t="s">
        <v>293</v>
      </c>
      <c r="D32" s="4" t="s">
        <v>8</v>
      </c>
      <c r="E32" s="4" t="s">
        <v>375</v>
      </c>
      <c r="F32" s="5">
        <v>3.6</v>
      </c>
      <c r="G32" s="10">
        <v>2.0</v>
      </c>
      <c r="H32" s="7"/>
      <c r="I32" s="7"/>
      <c r="J32" s="7"/>
      <c r="K32" s="7"/>
      <c r="L32" s="7"/>
      <c r="M32" s="7"/>
      <c r="N32" s="7"/>
      <c r="O32" s="7"/>
      <c r="P32" s="7"/>
      <c r="Q32" s="7"/>
      <c r="U32" s="8">
        <f t="shared" si="1"/>
        <v>3.6</v>
      </c>
      <c r="V32" s="8">
        <f t="shared" si="2"/>
        <v>25</v>
      </c>
      <c r="W32" s="8" t="str">
        <f t="shared" si="3"/>
        <v/>
      </c>
      <c r="X32" s="8" t="str">
        <f t="shared" si="4"/>
        <v>#N/A</v>
      </c>
    </row>
    <row r="33">
      <c r="A33" s="4">
        <f t="shared" si="5"/>
        <v>32</v>
      </c>
      <c r="B33" s="4" t="s">
        <v>288</v>
      </c>
      <c r="C33" s="4" t="s">
        <v>273</v>
      </c>
      <c r="D33" s="4" t="s">
        <v>10</v>
      </c>
      <c r="E33" s="4" t="s">
        <v>291</v>
      </c>
      <c r="F33" s="5">
        <v>2.4</v>
      </c>
      <c r="G33" s="10">
        <v>1.0</v>
      </c>
      <c r="H33" s="6" t="s">
        <v>376</v>
      </c>
      <c r="I33" s="7"/>
      <c r="J33" s="7"/>
      <c r="K33" s="7"/>
      <c r="L33" s="7"/>
      <c r="M33" s="7"/>
      <c r="N33" s="7"/>
      <c r="O33" s="7"/>
      <c r="P33" s="7"/>
      <c r="Q33" s="7"/>
      <c r="U33" s="8" t="str">
        <f t="shared" si="1"/>
        <v/>
      </c>
      <c r="V33" s="8" t="str">
        <f t="shared" si="2"/>
        <v>#N/A</v>
      </c>
      <c r="W33" s="8">
        <f t="shared" si="3"/>
        <v>2.4</v>
      </c>
      <c r="X33" s="8">
        <f t="shared" si="4"/>
        <v>20</v>
      </c>
    </row>
    <row r="34">
      <c r="A34" s="4">
        <f t="shared" si="5"/>
        <v>33</v>
      </c>
      <c r="B34" s="4" t="s">
        <v>288</v>
      </c>
      <c r="C34" s="4" t="s">
        <v>281</v>
      </c>
      <c r="D34" s="4" t="s">
        <v>8</v>
      </c>
      <c r="E34" s="4" t="s">
        <v>76</v>
      </c>
      <c r="F34" s="5">
        <v>5.0</v>
      </c>
      <c r="G34" s="10">
        <v>2.0</v>
      </c>
      <c r="H34" s="7"/>
      <c r="I34" s="7"/>
      <c r="J34" s="7"/>
      <c r="K34" s="7"/>
      <c r="L34" s="7"/>
      <c r="M34" s="7"/>
      <c r="N34" s="7"/>
      <c r="O34" s="7"/>
      <c r="P34" s="7"/>
      <c r="Q34" s="7"/>
      <c r="U34" s="8">
        <f t="shared" si="1"/>
        <v>5</v>
      </c>
      <c r="V34" s="8">
        <f t="shared" si="2"/>
        <v>16</v>
      </c>
      <c r="W34" s="8" t="str">
        <f t="shared" si="3"/>
        <v/>
      </c>
      <c r="X34" s="8" t="str">
        <f t="shared" si="4"/>
        <v>#N/A</v>
      </c>
    </row>
    <row r="35">
      <c r="A35" s="4">
        <f t="shared" si="5"/>
        <v>34</v>
      </c>
      <c r="B35" s="4" t="s">
        <v>281</v>
      </c>
      <c r="C35" s="4" t="s">
        <v>274</v>
      </c>
      <c r="D35" s="4" t="s">
        <v>10</v>
      </c>
      <c r="E35" s="4" t="s">
        <v>377</v>
      </c>
      <c r="F35" s="5">
        <v>3.0</v>
      </c>
      <c r="G35" s="10">
        <v>5.0</v>
      </c>
      <c r="H35" s="7"/>
      <c r="I35" s="7"/>
      <c r="J35" s="7"/>
      <c r="K35" s="7"/>
      <c r="L35" s="7"/>
      <c r="M35" s="7"/>
      <c r="N35" s="7"/>
      <c r="O35" s="7"/>
      <c r="P35" s="7"/>
      <c r="Q35" s="7"/>
      <c r="U35" s="8" t="str">
        <f t="shared" si="1"/>
        <v/>
      </c>
      <c r="V35" s="8" t="str">
        <f t="shared" si="2"/>
        <v>#N/A</v>
      </c>
      <c r="W35" s="8">
        <f t="shared" si="3"/>
        <v>3</v>
      </c>
      <c r="X35" s="8">
        <f t="shared" si="4"/>
        <v>17</v>
      </c>
    </row>
    <row r="36">
      <c r="A36" s="4">
        <f t="shared" si="5"/>
        <v>35</v>
      </c>
      <c r="B36" s="4" t="s">
        <v>281</v>
      </c>
      <c r="C36" s="4" t="s">
        <v>293</v>
      </c>
      <c r="D36" s="4" t="s">
        <v>8</v>
      </c>
      <c r="E36" s="4" t="s">
        <v>68</v>
      </c>
      <c r="F36" s="5">
        <v>6.4</v>
      </c>
      <c r="G36" s="10">
        <v>1.0</v>
      </c>
      <c r="H36" s="7"/>
      <c r="I36" s="7"/>
      <c r="J36" s="7"/>
      <c r="K36" s="7"/>
      <c r="L36" s="7"/>
      <c r="M36" s="7"/>
      <c r="N36" s="7"/>
      <c r="O36" s="7"/>
      <c r="P36" s="7"/>
      <c r="Q36" s="7"/>
      <c r="U36" s="8">
        <f t="shared" si="1"/>
        <v>6.4</v>
      </c>
      <c r="V36" s="8">
        <f t="shared" si="2"/>
        <v>3</v>
      </c>
      <c r="W36" s="8" t="str">
        <f t="shared" si="3"/>
        <v/>
      </c>
      <c r="X36" s="8" t="str">
        <f t="shared" si="4"/>
        <v>#N/A</v>
      </c>
    </row>
    <row r="37">
      <c r="A37" s="4">
        <f t="shared" si="5"/>
        <v>36</v>
      </c>
      <c r="B37" s="4" t="s">
        <v>294</v>
      </c>
      <c r="C37" s="4" t="s">
        <v>281</v>
      </c>
      <c r="D37" s="4" t="s">
        <v>10</v>
      </c>
      <c r="E37" s="4" t="s">
        <v>378</v>
      </c>
      <c r="F37" s="5">
        <v>3.1</v>
      </c>
      <c r="G37" s="10">
        <v>4.0</v>
      </c>
      <c r="H37" s="7"/>
      <c r="I37" s="7"/>
      <c r="J37" s="7"/>
      <c r="K37" s="7"/>
      <c r="L37" s="7"/>
      <c r="M37" s="7"/>
      <c r="N37" s="7"/>
      <c r="O37" s="7"/>
      <c r="P37" s="7"/>
      <c r="Q37" s="7"/>
      <c r="U37" s="8" t="str">
        <f t="shared" si="1"/>
        <v/>
      </c>
      <c r="V37" s="8" t="str">
        <f t="shared" si="2"/>
        <v>#N/A</v>
      </c>
      <c r="W37" s="8">
        <f t="shared" si="3"/>
        <v>3.1</v>
      </c>
      <c r="X37" s="8">
        <f t="shared" si="4"/>
        <v>16</v>
      </c>
    </row>
    <row r="38">
      <c r="A38" s="4">
        <f t="shared" si="5"/>
        <v>37</v>
      </c>
      <c r="B38" s="4" t="s">
        <v>294</v>
      </c>
      <c r="C38" s="4" t="s">
        <v>280</v>
      </c>
      <c r="D38" s="4" t="s">
        <v>8</v>
      </c>
      <c r="E38" s="4" t="s">
        <v>317</v>
      </c>
      <c r="F38" s="5">
        <v>2.0</v>
      </c>
      <c r="G38" s="10">
        <v>1.0</v>
      </c>
      <c r="H38" s="7"/>
      <c r="I38" s="7"/>
      <c r="J38" s="7"/>
      <c r="K38" s="7"/>
      <c r="L38" s="7"/>
      <c r="M38" s="7"/>
      <c r="N38" s="7"/>
      <c r="O38" s="7"/>
      <c r="P38" s="7"/>
      <c r="Q38" s="7"/>
      <c r="U38" s="8">
        <f t="shared" si="1"/>
        <v>2</v>
      </c>
      <c r="V38" s="8">
        <f t="shared" si="2"/>
        <v>44</v>
      </c>
      <c r="W38" s="8" t="str">
        <f t="shared" si="3"/>
        <v/>
      </c>
      <c r="X38" s="8" t="str">
        <f t="shared" si="4"/>
        <v>#N/A</v>
      </c>
    </row>
    <row r="39">
      <c r="A39" s="4">
        <f t="shared" si="5"/>
        <v>38</v>
      </c>
      <c r="B39" s="4" t="s">
        <v>286</v>
      </c>
      <c r="C39" s="4" t="s">
        <v>287</v>
      </c>
      <c r="D39" s="4" t="s">
        <v>8</v>
      </c>
      <c r="E39" s="4" t="s">
        <v>129</v>
      </c>
      <c r="F39" s="5">
        <v>2.2</v>
      </c>
      <c r="G39" s="10">
        <v>2.0</v>
      </c>
      <c r="H39" s="7"/>
      <c r="I39" s="7"/>
      <c r="J39" s="7"/>
      <c r="K39" s="7"/>
      <c r="L39" s="7"/>
      <c r="M39" s="7"/>
      <c r="N39" s="7"/>
      <c r="O39" s="7"/>
      <c r="P39" s="7"/>
      <c r="Q39" s="7"/>
      <c r="U39" s="8">
        <f t="shared" si="1"/>
        <v>2.2</v>
      </c>
      <c r="V39" s="8">
        <f t="shared" si="2"/>
        <v>38</v>
      </c>
      <c r="W39" s="8" t="str">
        <f t="shared" si="3"/>
        <v/>
      </c>
      <c r="X39" s="8" t="str">
        <f t="shared" si="4"/>
        <v>#N/A</v>
      </c>
    </row>
    <row r="40">
      <c r="A40" s="4">
        <f t="shared" si="5"/>
        <v>39</v>
      </c>
      <c r="B40" s="4" t="s">
        <v>284</v>
      </c>
      <c r="C40" s="4" t="s">
        <v>274</v>
      </c>
      <c r="D40" s="4" t="s">
        <v>10</v>
      </c>
      <c r="E40" s="4" t="s">
        <v>237</v>
      </c>
      <c r="F40" s="5">
        <v>4.1</v>
      </c>
      <c r="G40" s="10">
        <v>2.0</v>
      </c>
      <c r="H40" s="7"/>
      <c r="I40" s="7"/>
      <c r="J40" s="7"/>
      <c r="K40" s="7"/>
      <c r="L40" s="7"/>
      <c r="M40" s="7"/>
      <c r="N40" s="7"/>
      <c r="O40" s="7"/>
      <c r="P40" s="7"/>
      <c r="Q40" s="7"/>
      <c r="U40" s="8" t="str">
        <f t="shared" si="1"/>
        <v/>
      </c>
      <c r="V40" s="8" t="str">
        <f t="shared" si="2"/>
        <v>#N/A</v>
      </c>
      <c r="W40" s="8">
        <f t="shared" si="3"/>
        <v>4.1</v>
      </c>
      <c r="X40" s="8">
        <f t="shared" si="4"/>
        <v>10</v>
      </c>
    </row>
    <row r="41">
      <c r="A41" s="4">
        <f t="shared" si="5"/>
        <v>40</v>
      </c>
      <c r="B41" s="4" t="s">
        <v>284</v>
      </c>
      <c r="C41" s="4" t="s">
        <v>285</v>
      </c>
      <c r="D41" s="4" t="s">
        <v>8</v>
      </c>
      <c r="E41" s="4" t="s">
        <v>218</v>
      </c>
      <c r="F41" s="5">
        <v>4.1</v>
      </c>
      <c r="G41" s="10">
        <v>1.0</v>
      </c>
      <c r="H41" s="11"/>
      <c r="I41" s="7"/>
      <c r="J41" s="7"/>
      <c r="K41" s="7"/>
      <c r="L41" s="7"/>
      <c r="M41" s="7"/>
      <c r="N41" s="7"/>
      <c r="O41" s="7"/>
      <c r="P41" s="7"/>
      <c r="Q41" s="7"/>
      <c r="U41" s="8">
        <f t="shared" si="1"/>
        <v>4.1</v>
      </c>
      <c r="V41" s="8">
        <f t="shared" si="2"/>
        <v>23</v>
      </c>
      <c r="W41" s="8" t="str">
        <f t="shared" si="3"/>
        <v/>
      </c>
      <c r="X41" s="8" t="str">
        <f t="shared" si="4"/>
        <v>#N/A</v>
      </c>
    </row>
    <row r="42">
      <c r="A42" s="4">
        <f t="shared" si="5"/>
        <v>41</v>
      </c>
      <c r="B42" s="4" t="s">
        <v>274</v>
      </c>
      <c r="C42" s="4" t="s">
        <v>274</v>
      </c>
      <c r="D42" s="4" t="s">
        <v>10</v>
      </c>
      <c r="E42" s="4" t="s">
        <v>132</v>
      </c>
      <c r="F42" s="5">
        <v>4.5</v>
      </c>
      <c r="G42" s="10">
        <v>1.0</v>
      </c>
      <c r="H42" s="7"/>
      <c r="I42" s="7"/>
      <c r="J42" s="7"/>
      <c r="K42" s="7"/>
      <c r="L42" s="7"/>
      <c r="M42" s="7"/>
      <c r="N42" s="7"/>
      <c r="O42" s="7"/>
      <c r="P42" s="7"/>
      <c r="Q42" s="7"/>
      <c r="U42" s="8" t="str">
        <f t="shared" si="1"/>
        <v/>
      </c>
      <c r="V42" s="8" t="str">
        <f t="shared" si="2"/>
        <v>#N/A</v>
      </c>
      <c r="W42" s="8">
        <f t="shared" si="3"/>
        <v>4.5</v>
      </c>
      <c r="X42" s="8">
        <f t="shared" si="4"/>
        <v>8</v>
      </c>
    </row>
    <row r="43">
      <c r="A43" s="4">
        <f t="shared" si="5"/>
        <v>42</v>
      </c>
      <c r="B43" s="4" t="s">
        <v>274</v>
      </c>
      <c r="C43" s="4" t="s">
        <v>274</v>
      </c>
      <c r="D43" s="4" t="s">
        <v>8</v>
      </c>
      <c r="E43" s="4" t="s">
        <v>216</v>
      </c>
      <c r="F43" s="5">
        <v>5.7</v>
      </c>
      <c r="G43" s="10">
        <v>1.0</v>
      </c>
      <c r="H43" s="7"/>
      <c r="I43" s="7"/>
      <c r="J43" s="7"/>
      <c r="K43" s="7"/>
      <c r="L43" s="7"/>
      <c r="M43" s="7"/>
      <c r="N43" s="7"/>
      <c r="O43" s="7"/>
      <c r="P43" s="7"/>
      <c r="Q43" s="7"/>
      <c r="U43" s="8">
        <f t="shared" si="1"/>
        <v>5.7</v>
      </c>
      <c r="V43" s="8">
        <f t="shared" si="2"/>
        <v>9</v>
      </c>
      <c r="W43" s="8" t="str">
        <f t="shared" si="3"/>
        <v/>
      </c>
      <c r="X43" s="8" t="str">
        <f t="shared" si="4"/>
        <v>#N/A</v>
      </c>
    </row>
    <row r="44">
      <c r="A44" s="4">
        <f t="shared" si="5"/>
        <v>43</v>
      </c>
      <c r="B44" s="4" t="s">
        <v>273</v>
      </c>
      <c r="C44" s="4" t="s">
        <v>294</v>
      </c>
      <c r="D44" s="4" t="s">
        <v>10</v>
      </c>
      <c r="E44" s="4" t="s">
        <v>69</v>
      </c>
      <c r="F44" s="5">
        <v>1.6</v>
      </c>
      <c r="G44" s="10">
        <v>3.0</v>
      </c>
      <c r="H44" s="6" t="s">
        <v>379</v>
      </c>
      <c r="I44" s="7"/>
      <c r="J44" s="7"/>
      <c r="K44" s="7"/>
      <c r="L44" s="7"/>
      <c r="M44" s="7"/>
      <c r="N44" s="7"/>
      <c r="O44" s="7"/>
      <c r="P44" s="7"/>
      <c r="Q44" s="7"/>
      <c r="U44" s="8" t="str">
        <f t="shared" si="1"/>
        <v/>
      </c>
      <c r="V44" s="8" t="str">
        <f t="shared" si="2"/>
        <v>#N/A</v>
      </c>
      <c r="W44" s="8">
        <f t="shared" si="3"/>
        <v>1.6</v>
      </c>
      <c r="X44" s="8">
        <f t="shared" si="4"/>
        <v>22</v>
      </c>
    </row>
    <row r="45">
      <c r="A45" s="4">
        <f t="shared" si="5"/>
        <v>44</v>
      </c>
      <c r="B45" s="4" t="s">
        <v>273</v>
      </c>
      <c r="C45" s="4" t="s">
        <v>273</v>
      </c>
      <c r="D45" s="4" t="s">
        <v>8</v>
      </c>
      <c r="E45" s="4" t="s">
        <v>380</v>
      </c>
      <c r="F45" s="5">
        <v>0.5</v>
      </c>
      <c r="G45" s="10">
        <v>1.0</v>
      </c>
      <c r="H45" s="11"/>
      <c r="I45" s="11"/>
      <c r="J45" s="7"/>
      <c r="K45" s="11"/>
      <c r="L45" s="7"/>
      <c r="M45" s="7"/>
      <c r="N45" s="7"/>
      <c r="O45" s="7"/>
      <c r="P45" s="7"/>
      <c r="Q45" s="7"/>
      <c r="U45" s="8">
        <f t="shared" si="1"/>
        <v>0.5</v>
      </c>
      <c r="V45" s="8">
        <f t="shared" si="2"/>
        <v>101</v>
      </c>
      <c r="W45" s="8" t="str">
        <f t="shared" si="3"/>
        <v/>
      </c>
      <c r="X45" s="8" t="str">
        <f t="shared" si="4"/>
        <v>#N/A</v>
      </c>
    </row>
    <row r="46">
      <c r="A46" s="4">
        <f t="shared" si="5"/>
        <v>45</v>
      </c>
      <c r="B46" s="4" t="s">
        <v>287</v>
      </c>
      <c r="C46" s="4" t="s">
        <v>274</v>
      </c>
      <c r="D46" s="4" t="s">
        <v>10</v>
      </c>
      <c r="E46" s="4" t="s">
        <v>162</v>
      </c>
      <c r="F46" s="5">
        <v>1.0</v>
      </c>
      <c r="G46" s="10">
        <v>1.0</v>
      </c>
      <c r="H46" s="4"/>
      <c r="I46" s="4"/>
      <c r="J46" s="7"/>
      <c r="K46" s="7"/>
      <c r="L46" s="7"/>
      <c r="M46" s="7"/>
      <c r="N46" s="7"/>
      <c r="O46" s="7"/>
      <c r="P46" s="7"/>
      <c r="Q46" s="7"/>
      <c r="U46" s="8" t="str">
        <f t="shared" si="1"/>
        <v/>
      </c>
      <c r="V46" s="8" t="str">
        <f t="shared" si="2"/>
        <v>#N/A</v>
      </c>
      <c r="W46" s="8">
        <f t="shared" si="3"/>
        <v>1</v>
      </c>
      <c r="X46" s="8">
        <f t="shared" si="4"/>
        <v>26</v>
      </c>
    </row>
    <row r="47">
      <c r="A47" s="4">
        <f t="shared" si="5"/>
        <v>46</v>
      </c>
      <c r="B47" s="4" t="s">
        <v>287</v>
      </c>
      <c r="C47" s="4" t="s">
        <v>287</v>
      </c>
      <c r="D47" s="4" t="s">
        <v>8</v>
      </c>
      <c r="E47" s="4" t="s">
        <v>78</v>
      </c>
      <c r="F47" s="5">
        <v>3.1</v>
      </c>
      <c r="G47" s="10">
        <v>1.0</v>
      </c>
      <c r="H47" s="7"/>
      <c r="I47" s="7"/>
      <c r="J47" s="7"/>
      <c r="K47" s="11"/>
      <c r="L47" s="11"/>
      <c r="M47" s="7"/>
      <c r="N47" s="7"/>
      <c r="O47" s="7"/>
      <c r="P47" s="7"/>
      <c r="Q47" s="7"/>
      <c r="U47" s="8">
        <f t="shared" si="1"/>
        <v>3.1</v>
      </c>
      <c r="V47" s="8">
        <f t="shared" si="2"/>
        <v>29</v>
      </c>
      <c r="W47" s="8" t="str">
        <f t="shared" si="3"/>
        <v/>
      </c>
      <c r="X47" s="8" t="str">
        <f t="shared" si="4"/>
        <v>#N/A</v>
      </c>
    </row>
    <row r="48">
      <c r="A48" s="4">
        <f t="shared" si="5"/>
        <v>47</v>
      </c>
      <c r="B48" s="4" t="s">
        <v>280</v>
      </c>
      <c r="C48" s="4" t="s">
        <v>286</v>
      </c>
      <c r="D48" s="4" t="s">
        <v>10</v>
      </c>
      <c r="E48" s="4" t="s">
        <v>91</v>
      </c>
      <c r="F48" s="5">
        <v>2.9</v>
      </c>
      <c r="G48" s="10">
        <v>3.0</v>
      </c>
      <c r="H48" s="6" t="s">
        <v>381</v>
      </c>
      <c r="I48" s="6" t="s">
        <v>382</v>
      </c>
      <c r="J48" s="7"/>
      <c r="K48" s="7"/>
      <c r="L48" s="7"/>
      <c r="M48" s="7"/>
      <c r="N48" s="7"/>
      <c r="O48" s="7"/>
      <c r="P48" s="7"/>
      <c r="Q48" s="7"/>
      <c r="U48" s="8" t="str">
        <f t="shared" si="1"/>
        <v/>
      </c>
      <c r="V48" s="8" t="str">
        <f t="shared" si="2"/>
        <v>#N/A</v>
      </c>
      <c r="W48" s="8">
        <f t="shared" si="3"/>
        <v>2.9</v>
      </c>
      <c r="X48" s="8">
        <f t="shared" si="4"/>
        <v>18</v>
      </c>
    </row>
    <row r="49">
      <c r="A49" s="4">
        <f t="shared" si="5"/>
        <v>48</v>
      </c>
      <c r="B49" s="4" t="s">
        <v>280</v>
      </c>
      <c r="C49" s="4" t="s">
        <v>294</v>
      </c>
      <c r="D49" s="4" t="s">
        <v>8</v>
      </c>
      <c r="E49" s="4" t="s">
        <v>241</v>
      </c>
      <c r="F49" s="5">
        <v>6.2</v>
      </c>
      <c r="G49" s="10">
        <v>1.0</v>
      </c>
      <c r="H49" s="7"/>
      <c r="I49" s="7"/>
      <c r="J49" s="7"/>
      <c r="K49" s="7"/>
      <c r="L49" s="7"/>
      <c r="M49" s="7"/>
      <c r="N49" s="7"/>
      <c r="O49" s="7"/>
      <c r="P49" s="7"/>
      <c r="Q49" s="7"/>
      <c r="U49" s="8">
        <f t="shared" si="1"/>
        <v>6.2</v>
      </c>
      <c r="V49" s="8">
        <f t="shared" si="2"/>
        <v>4</v>
      </c>
      <c r="W49" s="8" t="str">
        <f t="shared" si="3"/>
        <v/>
      </c>
      <c r="X49" s="8" t="str">
        <f t="shared" si="4"/>
        <v>#N/A</v>
      </c>
    </row>
    <row r="50">
      <c r="A50" s="4">
        <f t="shared" si="5"/>
        <v>49</v>
      </c>
      <c r="B50" s="4" t="s">
        <v>285</v>
      </c>
      <c r="C50" s="4" t="s">
        <v>285</v>
      </c>
      <c r="D50" s="4" t="s">
        <v>10</v>
      </c>
      <c r="E50" s="4" t="s">
        <v>383</v>
      </c>
      <c r="F50" s="5">
        <v>0.5</v>
      </c>
      <c r="G50" s="10">
        <v>1.0</v>
      </c>
      <c r="H50" s="4"/>
      <c r="I50" s="4"/>
      <c r="J50" s="4"/>
      <c r="K50" s="4"/>
      <c r="L50" s="7"/>
      <c r="M50" s="7"/>
      <c r="N50" s="7"/>
      <c r="O50" s="7"/>
      <c r="P50" s="7"/>
      <c r="Q50" s="7"/>
      <c r="U50" s="8" t="str">
        <f t="shared" si="1"/>
        <v/>
      </c>
      <c r="V50" s="8" t="str">
        <f t="shared" si="2"/>
        <v>#N/A</v>
      </c>
      <c r="W50" s="8">
        <f t="shared" si="3"/>
        <v>0.5</v>
      </c>
      <c r="X50" s="8">
        <f t="shared" si="4"/>
        <v>31</v>
      </c>
    </row>
    <row r="51">
      <c r="A51" s="4">
        <f t="shared" si="5"/>
        <v>50</v>
      </c>
      <c r="B51" s="4" t="s">
        <v>285</v>
      </c>
      <c r="C51" s="4" t="s">
        <v>280</v>
      </c>
      <c r="D51" s="4" t="s">
        <v>8</v>
      </c>
      <c r="E51" s="4" t="s">
        <v>384</v>
      </c>
      <c r="F51" s="5">
        <v>0.7</v>
      </c>
      <c r="G51" s="10">
        <v>1.0</v>
      </c>
      <c r="H51" s="7"/>
      <c r="I51" s="7"/>
      <c r="J51" s="7"/>
      <c r="K51" s="7"/>
      <c r="L51" s="7"/>
      <c r="M51" s="7"/>
      <c r="N51" s="7"/>
      <c r="O51" s="7"/>
      <c r="P51" s="7"/>
      <c r="Q51" s="7"/>
      <c r="U51" s="8">
        <f t="shared" si="1"/>
        <v>0.7</v>
      </c>
      <c r="V51" s="8">
        <f t="shared" si="2"/>
        <v>91</v>
      </c>
      <c r="W51" s="8" t="str">
        <f t="shared" si="3"/>
        <v/>
      </c>
      <c r="X51" s="8" t="str">
        <f t="shared" si="4"/>
        <v>#N/A</v>
      </c>
    </row>
    <row r="52">
      <c r="A52" s="4">
        <f t="shared" si="5"/>
        <v>51</v>
      </c>
      <c r="B52" s="4" t="s">
        <v>293</v>
      </c>
      <c r="C52" s="4" t="s">
        <v>273</v>
      </c>
      <c r="D52" s="4" t="s">
        <v>10</v>
      </c>
      <c r="E52" s="4" t="s">
        <v>385</v>
      </c>
      <c r="F52" s="5">
        <v>2.5</v>
      </c>
      <c r="G52" s="10">
        <v>2.0</v>
      </c>
      <c r="H52" s="6" t="s">
        <v>386</v>
      </c>
      <c r="I52" s="6" t="s">
        <v>387</v>
      </c>
      <c r="J52" s="7"/>
      <c r="K52" s="7"/>
      <c r="L52" s="7"/>
      <c r="M52" s="7"/>
      <c r="N52" s="7"/>
      <c r="O52" s="7"/>
      <c r="P52" s="7"/>
      <c r="Q52" s="7"/>
      <c r="U52" s="8" t="str">
        <f t="shared" si="1"/>
        <v/>
      </c>
      <c r="V52" s="8" t="str">
        <f t="shared" si="2"/>
        <v>#N/A</v>
      </c>
      <c r="W52" s="8">
        <f t="shared" si="3"/>
        <v>2.5</v>
      </c>
      <c r="X52" s="8">
        <f t="shared" si="4"/>
        <v>19</v>
      </c>
    </row>
    <row r="53">
      <c r="A53" s="4">
        <f t="shared" si="5"/>
        <v>52</v>
      </c>
      <c r="B53" s="4" t="s">
        <v>293</v>
      </c>
      <c r="C53" s="4" t="s">
        <v>288</v>
      </c>
      <c r="D53" s="4" t="s">
        <v>8</v>
      </c>
      <c r="E53" s="4" t="s">
        <v>134</v>
      </c>
      <c r="F53" s="5">
        <v>3.7</v>
      </c>
      <c r="G53" s="10">
        <v>1.0</v>
      </c>
      <c r="H53" s="7"/>
      <c r="I53" s="7"/>
      <c r="J53" s="7"/>
      <c r="K53" s="7"/>
      <c r="L53" s="7"/>
      <c r="M53" s="7"/>
      <c r="N53" s="7"/>
      <c r="O53" s="7"/>
      <c r="P53" s="7"/>
      <c r="Q53" s="7"/>
      <c r="U53" s="8">
        <f t="shared" si="1"/>
        <v>3.7</v>
      </c>
      <c r="V53" s="8">
        <f t="shared" si="2"/>
        <v>24</v>
      </c>
      <c r="W53" s="8" t="str">
        <f t="shared" si="3"/>
        <v/>
      </c>
      <c r="X53" s="8" t="str">
        <f t="shared" si="4"/>
        <v>#N/A</v>
      </c>
    </row>
    <row r="54">
      <c r="A54" s="4">
        <f t="shared" si="5"/>
        <v>53</v>
      </c>
      <c r="B54" s="4" t="s">
        <v>288</v>
      </c>
      <c r="C54" s="4" t="s">
        <v>274</v>
      </c>
      <c r="D54" s="4" t="s">
        <v>8</v>
      </c>
      <c r="E54" s="4" t="s">
        <v>321</v>
      </c>
      <c r="F54" s="5">
        <v>4.2</v>
      </c>
      <c r="G54" s="10">
        <v>1.0</v>
      </c>
      <c r="H54" s="7"/>
      <c r="I54" s="7"/>
      <c r="J54" s="7"/>
      <c r="K54" s="7"/>
      <c r="L54" s="7"/>
      <c r="M54" s="7"/>
      <c r="N54" s="7"/>
      <c r="O54" s="7"/>
      <c r="P54" s="7"/>
      <c r="Q54" s="7"/>
      <c r="U54" s="8">
        <f t="shared" si="1"/>
        <v>4.2</v>
      </c>
      <c r="V54" s="8">
        <f t="shared" si="2"/>
        <v>22</v>
      </c>
      <c r="W54" s="8" t="str">
        <f t="shared" si="3"/>
        <v/>
      </c>
      <c r="X54" s="8" t="str">
        <f t="shared" si="4"/>
        <v>#N/A</v>
      </c>
    </row>
    <row r="55">
      <c r="A55" s="4">
        <f t="shared" si="5"/>
        <v>54</v>
      </c>
      <c r="B55" s="4" t="s">
        <v>281</v>
      </c>
      <c r="C55" s="4" t="s">
        <v>280</v>
      </c>
      <c r="D55" s="4" t="s">
        <v>10</v>
      </c>
      <c r="E55" s="4" t="s">
        <v>168</v>
      </c>
      <c r="F55" s="5">
        <v>0.7</v>
      </c>
      <c r="G55" s="10">
        <v>1.0</v>
      </c>
      <c r="H55" s="7"/>
      <c r="I55" s="7"/>
      <c r="J55" s="7"/>
      <c r="K55" s="7"/>
      <c r="L55" s="7"/>
      <c r="M55" s="7"/>
      <c r="N55" s="7"/>
      <c r="O55" s="7"/>
      <c r="P55" s="7"/>
      <c r="Q55" s="7"/>
      <c r="U55" s="8" t="str">
        <f t="shared" si="1"/>
        <v/>
      </c>
      <c r="V55" s="8" t="str">
        <f t="shared" si="2"/>
        <v>#N/A</v>
      </c>
      <c r="W55" s="8">
        <f t="shared" si="3"/>
        <v>0.7</v>
      </c>
      <c r="X55" s="8">
        <f t="shared" si="4"/>
        <v>30</v>
      </c>
    </row>
    <row r="56">
      <c r="A56" s="4">
        <f t="shared" si="5"/>
        <v>55</v>
      </c>
      <c r="B56" s="4" t="s">
        <v>281</v>
      </c>
      <c r="C56" s="4" t="s">
        <v>286</v>
      </c>
      <c r="D56" s="4" t="s">
        <v>8</v>
      </c>
      <c r="E56" s="4" t="s">
        <v>79</v>
      </c>
      <c r="F56" s="5">
        <v>5.7</v>
      </c>
      <c r="G56" s="10">
        <v>1.0</v>
      </c>
      <c r="H56" s="7"/>
      <c r="I56" s="7"/>
      <c r="J56" s="7"/>
      <c r="K56" s="7"/>
      <c r="L56" s="7"/>
      <c r="M56" s="7"/>
      <c r="N56" s="7"/>
      <c r="O56" s="7"/>
      <c r="P56" s="7"/>
      <c r="Q56" s="7"/>
      <c r="U56" s="8">
        <f t="shared" si="1"/>
        <v>5.7</v>
      </c>
      <c r="V56" s="8">
        <f t="shared" si="2"/>
        <v>9</v>
      </c>
      <c r="W56" s="8" t="str">
        <f t="shared" si="3"/>
        <v/>
      </c>
      <c r="X56" s="8" t="str">
        <f t="shared" si="4"/>
        <v>#N/A</v>
      </c>
    </row>
    <row r="57">
      <c r="A57" s="4">
        <f t="shared" si="5"/>
        <v>56</v>
      </c>
      <c r="B57" s="4" t="s">
        <v>294</v>
      </c>
      <c r="C57" s="4" t="s">
        <v>285</v>
      </c>
      <c r="D57" s="4" t="s">
        <v>10</v>
      </c>
      <c r="E57" s="4" t="s">
        <v>199</v>
      </c>
      <c r="F57" s="5">
        <v>1.4</v>
      </c>
      <c r="G57" s="10">
        <v>2.0</v>
      </c>
      <c r="H57" s="7"/>
      <c r="I57" s="7"/>
      <c r="J57" s="7"/>
      <c r="K57" s="7"/>
      <c r="L57" s="7"/>
      <c r="M57" s="7"/>
      <c r="N57" s="7"/>
      <c r="O57" s="7"/>
      <c r="P57" s="7"/>
      <c r="Q57" s="7"/>
      <c r="U57" s="8" t="str">
        <f t="shared" si="1"/>
        <v/>
      </c>
      <c r="V57" s="8" t="str">
        <f t="shared" si="2"/>
        <v>#N/A</v>
      </c>
      <c r="W57" s="8">
        <f t="shared" si="3"/>
        <v>1.4</v>
      </c>
      <c r="X57" s="8">
        <f t="shared" si="4"/>
        <v>23</v>
      </c>
    </row>
    <row r="58">
      <c r="A58" s="4">
        <f t="shared" si="5"/>
        <v>57</v>
      </c>
      <c r="B58" s="4" t="s">
        <v>294</v>
      </c>
      <c r="C58" s="4" t="s">
        <v>281</v>
      </c>
      <c r="D58" s="4" t="s">
        <v>8</v>
      </c>
      <c r="E58" s="4" t="s">
        <v>50</v>
      </c>
      <c r="F58" s="5">
        <v>5.9</v>
      </c>
      <c r="G58" s="10">
        <v>1.0</v>
      </c>
      <c r="H58" s="7"/>
      <c r="I58" s="7"/>
      <c r="J58" s="7"/>
      <c r="K58" s="7"/>
      <c r="L58" s="7"/>
      <c r="M58" s="7"/>
      <c r="N58" s="7"/>
      <c r="O58" s="7"/>
      <c r="P58" s="7"/>
      <c r="Q58" s="7"/>
      <c r="U58" s="8">
        <f t="shared" si="1"/>
        <v>5.9</v>
      </c>
      <c r="V58" s="8">
        <f t="shared" si="2"/>
        <v>8</v>
      </c>
      <c r="W58" s="8" t="str">
        <f t="shared" si="3"/>
        <v/>
      </c>
      <c r="X58" s="8" t="str">
        <f t="shared" si="4"/>
        <v>#N/A</v>
      </c>
    </row>
    <row r="59">
      <c r="A59" s="4">
        <f t="shared" si="5"/>
        <v>58</v>
      </c>
      <c r="B59" s="4" t="s">
        <v>286</v>
      </c>
      <c r="C59" s="4" t="s">
        <v>293</v>
      </c>
      <c r="D59" s="4" t="s">
        <v>8</v>
      </c>
      <c r="E59" s="4" t="s">
        <v>155</v>
      </c>
      <c r="F59" s="5">
        <v>2.5</v>
      </c>
      <c r="G59" s="10">
        <v>1.0</v>
      </c>
      <c r="H59" s="7"/>
      <c r="I59" s="7"/>
      <c r="J59" s="7"/>
      <c r="K59" s="7"/>
      <c r="L59" s="7"/>
      <c r="M59" s="7"/>
      <c r="N59" s="7"/>
      <c r="O59" s="7"/>
      <c r="P59" s="7"/>
      <c r="Q59" s="7"/>
      <c r="U59" s="8">
        <f t="shared" si="1"/>
        <v>2.5</v>
      </c>
      <c r="V59" s="8">
        <f t="shared" si="2"/>
        <v>34</v>
      </c>
      <c r="W59" s="8" t="str">
        <f t="shared" si="3"/>
        <v/>
      </c>
      <c r="X59" s="8" t="str">
        <f t="shared" si="4"/>
        <v>#N/A</v>
      </c>
    </row>
    <row r="60">
      <c r="A60" s="4">
        <f t="shared" si="5"/>
        <v>59</v>
      </c>
      <c r="B60" s="4" t="s">
        <v>284</v>
      </c>
      <c r="C60" s="4" t="s">
        <v>287</v>
      </c>
      <c r="D60" s="4" t="s">
        <v>8</v>
      </c>
      <c r="E60" s="4" t="s">
        <v>154</v>
      </c>
      <c r="F60" s="5">
        <v>4.6</v>
      </c>
      <c r="G60" s="10">
        <v>1.0</v>
      </c>
      <c r="H60" s="7"/>
      <c r="I60" s="7"/>
      <c r="J60" s="7"/>
      <c r="K60" s="7"/>
      <c r="L60" s="7"/>
      <c r="M60" s="7"/>
      <c r="N60" s="7"/>
      <c r="O60" s="7"/>
      <c r="P60" s="7"/>
      <c r="Q60" s="7"/>
      <c r="U60" s="8">
        <f t="shared" si="1"/>
        <v>4.6</v>
      </c>
      <c r="V60" s="8">
        <f t="shared" si="2"/>
        <v>20</v>
      </c>
      <c r="W60" s="8" t="str">
        <f t="shared" si="3"/>
        <v/>
      </c>
      <c r="X60" s="8" t="str">
        <f t="shared" si="4"/>
        <v>#N/A</v>
      </c>
    </row>
    <row r="61">
      <c r="A61" s="4">
        <f t="shared" si="5"/>
        <v>60</v>
      </c>
      <c r="B61" s="4" t="s">
        <v>274</v>
      </c>
      <c r="C61" s="4" t="s">
        <v>293</v>
      </c>
      <c r="D61" s="4" t="s">
        <v>8</v>
      </c>
      <c r="E61" s="4" t="s">
        <v>388</v>
      </c>
      <c r="F61" s="5">
        <v>2.2</v>
      </c>
      <c r="G61" s="10">
        <v>1.0</v>
      </c>
      <c r="H61" s="7"/>
      <c r="I61" s="7"/>
      <c r="J61" s="7"/>
      <c r="K61" s="7"/>
      <c r="L61" s="7"/>
      <c r="M61" s="7"/>
      <c r="N61" s="7"/>
      <c r="O61" s="7"/>
      <c r="P61" s="7"/>
      <c r="Q61" s="7"/>
      <c r="U61" s="8">
        <f t="shared" si="1"/>
        <v>2.2</v>
      </c>
      <c r="V61" s="8">
        <f t="shared" si="2"/>
        <v>38</v>
      </c>
      <c r="W61" s="8" t="str">
        <f t="shared" si="3"/>
        <v/>
      </c>
      <c r="X61" s="8" t="str">
        <f t="shared" si="4"/>
        <v>#N/A</v>
      </c>
    </row>
    <row r="62">
      <c r="A62" s="4">
        <f t="shared" si="5"/>
        <v>61</v>
      </c>
      <c r="B62" s="4" t="s">
        <v>273</v>
      </c>
      <c r="C62" s="4" t="s">
        <v>274</v>
      </c>
      <c r="D62" s="4" t="s">
        <v>10</v>
      </c>
      <c r="E62" s="4" t="s">
        <v>231</v>
      </c>
      <c r="F62" s="5">
        <v>1.3</v>
      </c>
      <c r="G62" s="10">
        <v>2.0</v>
      </c>
      <c r="H62" s="6" t="s">
        <v>389</v>
      </c>
      <c r="I62" s="7"/>
      <c r="J62" s="7"/>
      <c r="K62" s="7"/>
      <c r="L62" s="7"/>
      <c r="M62" s="7"/>
      <c r="N62" s="7"/>
      <c r="O62" s="7"/>
      <c r="P62" s="7"/>
      <c r="Q62" s="7"/>
      <c r="U62" s="8" t="str">
        <f t="shared" si="1"/>
        <v/>
      </c>
      <c r="V62" s="8" t="str">
        <f t="shared" si="2"/>
        <v>#N/A</v>
      </c>
      <c r="W62" s="8">
        <f t="shared" si="3"/>
        <v>1.3</v>
      </c>
      <c r="X62" s="8">
        <f t="shared" si="4"/>
        <v>24</v>
      </c>
    </row>
    <row r="63">
      <c r="A63" s="4">
        <f t="shared" si="5"/>
        <v>62</v>
      </c>
      <c r="B63" s="4" t="s">
        <v>273</v>
      </c>
      <c r="C63" s="4" t="s">
        <v>280</v>
      </c>
      <c r="D63" s="4" t="s">
        <v>8</v>
      </c>
      <c r="E63" s="4" t="s">
        <v>390</v>
      </c>
      <c r="F63" s="5">
        <v>0.8</v>
      </c>
      <c r="G63" s="10">
        <v>1.0</v>
      </c>
      <c r="H63" s="7"/>
      <c r="I63" s="7"/>
      <c r="J63" s="7"/>
      <c r="K63" s="7"/>
      <c r="L63" s="7"/>
      <c r="M63" s="7"/>
      <c r="N63" s="7"/>
      <c r="O63" s="7"/>
      <c r="P63" s="7"/>
      <c r="Q63" s="7"/>
      <c r="U63" s="8">
        <f t="shared" si="1"/>
        <v>0.8</v>
      </c>
      <c r="V63" s="8">
        <f t="shared" si="2"/>
        <v>80</v>
      </c>
      <c r="W63" s="8" t="str">
        <f t="shared" si="3"/>
        <v/>
      </c>
      <c r="X63" s="8" t="str">
        <f t="shared" si="4"/>
        <v>#N/A</v>
      </c>
    </row>
    <row r="64">
      <c r="A64" s="4">
        <f t="shared" si="5"/>
        <v>63</v>
      </c>
      <c r="B64" s="4" t="s">
        <v>287</v>
      </c>
      <c r="C64" s="4" t="s">
        <v>293</v>
      </c>
      <c r="D64" s="4" t="s">
        <v>8</v>
      </c>
      <c r="E64" s="4" t="s">
        <v>58</v>
      </c>
      <c r="F64" s="5">
        <v>5.7</v>
      </c>
      <c r="G64" s="10">
        <v>2.0</v>
      </c>
      <c r="H64" s="7"/>
      <c r="I64" s="7"/>
      <c r="J64" s="7"/>
      <c r="K64" s="7"/>
      <c r="L64" s="7"/>
      <c r="M64" s="7"/>
      <c r="N64" s="7"/>
      <c r="O64" s="7"/>
      <c r="P64" s="7"/>
      <c r="Q64" s="7"/>
      <c r="U64" s="8">
        <f t="shared" si="1"/>
        <v>5.7</v>
      </c>
      <c r="V64" s="8">
        <f t="shared" si="2"/>
        <v>9</v>
      </c>
      <c r="W64" s="8" t="str">
        <f t="shared" si="3"/>
        <v/>
      </c>
      <c r="X64" s="8" t="str">
        <f t="shared" si="4"/>
        <v>#N/A</v>
      </c>
    </row>
    <row r="65">
      <c r="A65" s="4">
        <f t="shared" si="5"/>
        <v>64</v>
      </c>
      <c r="B65" s="4" t="s">
        <v>280</v>
      </c>
      <c r="C65" s="4" t="s">
        <v>293</v>
      </c>
      <c r="D65" s="4" t="s">
        <v>10</v>
      </c>
      <c r="E65" s="4" t="s">
        <v>391</v>
      </c>
      <c r="F65" s="5">
        <v>0.9</v>
      </c>
      <c r="G65" s="10">
        <v>4.0</v>
      </c>
      <c r="H65" s="7"/>
      <c r="I65" s="7"/>
      <c r="J65" s="7"/>
      <c r="K65" s="7"/>
      <c r="L65" s="7"/>
      <c r="M65" s="7"/>
      <c r="N65" s="7"/>
      <c r="O65" s="7"/>
      <c r="P65" s="7"/>
      <c r="Q65" s="7"/>
      <c r="U65" s="8" t="str">
        <f t="shared" si="1"/>
        <v/>
      </c>
      <c r="V65" s="8" t="str">
        <f t="shared" si="2"/>
        <v>#N/A</v>
      </c>
      <c r="W65" s="8">
        <f t="shared" si="3"/>
        <v>0.9</v>
      </c>
      <c r="X65" s="8">
        <f t="shared" si="4"/>
        <v>28</v>
      </c>
    </row>
    <row r="66">
      <c r="A66" s="4">
        <f t="shared" si="5"/>
        <v>65</v>
      </c>
      <c r="B66" s="4" t="s">
        <v>280</v>
      </c>
      <c r="C66" s="4" t="s">
        <v>293</v>
      </c>
      <c r="D66" s="4" t="s">
        <v>8</v>
      </c>
      <c r="E66" s="4" t="s">
        <v>335</v>
      </c>
      <c r="F66" s="5">
        <v>3.6</v>
      </c>
      <c r="G66" s="10">
        <v>1.0</v>
      </c>
      <c r="H66" s="7"/>
      <c r="I66" s="7"/>
      <c r="J66" s="7"/>
      <c r="K66" s="7"/>
      <c r="L66" s="7"/>
      <c r="M66" s="7"/>
      <c r="N66" s="7"/>
      <c r="O66" s="7"/>
      <c r="P66" s="7"/>
      <c r="Q66" s="7"/>
      <c r="U66" s="8">
        <f t="shared" si="1"/>
        <v>3.6</v>
      </c>
      <c r="V66" s="8">
        <f t="shared" si="2"/>
        <v>25</v>
      </c>
      <c r="W66" s="8" t="str">
        <f t="shared" si="3"/>
        <v/>
      </c>
      <c r="X66" s="8" t="str">
        <f t="shared" si="4"/>
        <v>#N/A</v>
      </c>
    </row>
    <row r="67">
      <c r="A67" s="4">
        <f t="shared" si="5"/>
        <v>66</v>
      </c>
      <c r="B67" s="4" t="s">
        <v>285</v>
      </c>
      <c r="C67" s="4" t="s">
        <v>281</v>
      </c>
      <c r="D67" s="4" t="s">
        <v>10</v>
      </c>
      <c r="E67" s="4" t="s">
        <v>392</v>
      </c>
      <c r="F67" s="5">
        <v>1.0</v>
      </c>
      <c r="G67" s="10">
        <v>3.0</v>
      </c>
      <c r="H67" s="7"/>
      <c r="I67" s="12"/>
      <c r="J67" s="7"/>
      <c r="K67" s="7"/>
      <c r="L67" s="7"/>
      <c r="M67" s="7"/>
      <c r="N67" s="7"/>
      <c r="O67" s="7"/>
      <c r="P67" s="7"/>
      <c r="Q67" s="7"/>
      <c r="U67" s="8" t="str">
        <f t="shared" si="1"/>
        <v/>
      </c>
      <c r="V67" s="8" t="str">
        <f t="shared" si="2"/>
        <v>#N/A</v>
      </c>
      <c r="W67" s="8">
        <f t="shared" si="3"/>
        <v>1</v>
      </c>
      <c r="X67" s="8">
        <f t="shared" si="4"/>
        <v>26</v>
      </c>
    </row>
    <row r="68">
      <c r="A68" s="4">
        <f t="shared" si="5"/>
        <v>67</v>
      </c>
      <c r="B68" s="4" t="s">
        <v>285</v>
      </c>
      <c r="C68" s="4" t="s">
        <v>285</v>
      </c>
      <c r="D68" s="4" t="s">
        <v>8</v>
      </c>
      <c r="E68" s="4" t="s">
        <v>118</v>
      </c>
      <c r="F68" s="5">
        <v>1.9</v>
      </c>
      <c r="G68" s="10">
        <v>1.0</v>
      </c>
      <c r="H68" s="7"/>
      <c r="I68" s="7"/>
      <c r="J68" s="7"/>
      <c r="K68" s="7"/>
      <c r="L68" s="7"/>
      <c r="M68" s="7"/>
      <c r="N68" s="7"/>
      <c r="O68" s="7"/>
      <c r="P68" s="7"/>
      <c r="Q68" s="7"/>
      <c r="U68" s="8">
        <f t="shared" si="1"/>
        <v>1.9</v>
      </c>
      <c r="V68" s="8">
        <f t="shared" si="2"/>
        <v>48</v>
      </c>
      <c r="W68" s="8" t="str">
        <f t="shared" si="3"/>
        <v/>
      </c>
      <c r="X68" s="8" t="str">
        <f t="shared" si="4"/>
        <v>#N/A</v>
      </c>
    </row>
    <row r="69">
      <c r="A69" s="4">
        <f t="shared" si="5"/>
        <v>68</v>
      </c>
      <c r="B69" s="4" t="s">
        <v>293</v>
      </c>
      <c r="C69" s="4" t="s">
        <v>284</v>
      </c>
      <c r="D69" s="4" t="s">
        <v>10</v>
      </c>
      <c r="E69" s="4" t="s">
        <v>393</v>
      </c>
      <c r="F69" s="5">
        <v>0.5</v>
      </c>
      <c r="G69" s="10">
        <v>1.0</v>
      </c>
      <c r="H69" s="7"/>
      <c r="I69" s="7"/>
      <c r="J69" s="7"/>
      <c r="K69" s="7"/>
      <c r="L69" s="7"/>
      <c r="M69" s="7"/>
      <c r="N69" s="7"/>
      <c r="O69" s="7"/>
      <c r="P69" s="7"/>
      <c r="Q69" s="7"/>
      <c r="U69" s="8" t="str">
        <f t="shared" si="1"/>
        <v/>
      </c>
      <c r="V69" s="8" t="str">
        <f t="shared" si="2"/>
        <v>#N/A</v>
      </c>
      <c r="W69" s="8">
        <f t="shared" si="3"/>
        <v>0.5</v>
      </c>
      <c r="X69" s="8">
        <f t="shared" si="4"/>
        <v>31</v>
      </c>
    </row>
    <row r="70">
      <c r="A70" s="4">
        <f t="shared" si="5"/>
        <v>69</v>
      </c>
      <c r="B70" s="4" t="s">
        <v>293</v>
      </c>
      <c r="C70" s="4" t="s">
        <v>285</v>
      </c>
      <c r="D70" s="4" t="s">
        <v>8</v>
      </c>
      <c r="E70" s="4" t="s">
        <v>298</v>
      </c>
      <c r="F70" s="5">
        <v>2.3</v>
      </c>
      <c r="G70" s="10">
        <v>1.0</v>
      </c>
      <c r="H70" s="7"/>
      <c r="I70" s="7"/>
      <c r="J70" s="7"/>
      <c r="K70" s="7"/>
      <c r="L70" s="7"/>
      <c r="M70" s="7"/>
      <c r="N70" s="7"/>
      <c r="O70" s="7"/>
      <c r="P70" s="7"/>
      <c r="Q70" s="7"/>
      <c r="U70" s="8">
        <f t="shared" si="1"/>
        <v>2.3</v>
      </c>
      <c r="V70" s="8">
        <f t="shared" si="2"/>
        <v>36</v>
      </c>
      <c r="W70" s="8" t="str">
        <f t="shared" si="3"/>
        <v/>
      </c>
      <c r="X70" s="8" t="str">
        <f t="shared" si="4"/>
        <v>#N/A</v>
      </c>
    </row>
    <row r="71">
      <c r="A71" s="4">
        <f t="shared" si="5"/>
        <v>70</v>
      </c>
      <c r="B71" s="4" t="s">
        <v>288</v>
      </c>
      <c r="C71" s="4" t="s">
        <v>281</v>
      </c>
      <c r="D71" s="4" t="s">
        <v>10</v>
      </c>
      <c r="E71" s="4" t="s">
        <v>46</v>
      </c>
      <c r="F71" s="5">
        <v>1.2</v>
      </c>
      <c r="G71" s="10">
        <v>1.0</v>
      </c>
      <c r="H71" s="7"/>
      <c r="I71" s="7"/>
      <c r="J71" s="7"/>
      <c r="K71" s="7"/>
      <c r="L71" s="7"/>
      <c r="M71" s="7"/>
      <c r="N71" s="7"/>
      <c r="O71" s="7"/>
      <c r="P71" s="7"/>
      <c r="Q71" s="7"/>
      <c r="U71" s="8" t="str">
        <f t="shared" si="1"/>
        <v/>
      </c>
      <c r="V71" s="8" t="str">
        <f t="shared" si="2"/>
        <v>#N/A</v>
      </c>
      <c r="W71" s="8">
        <f t="shared" si="3"/>
        <v>1.2</v>
      </c>
      <c r="X71" s="8">
        <f t="shared" si="4"/>
        <v>25</v>
      </c>
    </row>
    <row r="72">
      <c r="A72" s="4">
        <f t="shared" si="5"/>
        <v>71</v>
      </c>
      <c r="B72" s="4" t="s">
        <v>288</v>
      </c>
      <c r="C72" s="4" t="s">
        <v>285</v>
      </c>
      <c r="D72" s="4" t="s">
        <v>8</v>
      </c>
      <c r="E72" s="4" t="s">
        <v>109</v>
      </c>
      <c r="F72" s="5">
        <v>3.0</v>
      </c>
      <c r="G72" s="10">
        <v>1.0</v>
      </c>
      <c r="H72" s="7"/>
      <c r="I72" s="7"/>
      <c r="J72" s="7"/>
      <c r="K72" s="7"/>
      <c r="L72" s="7"/>
      <c r="M72" s="7"/>
      <c r="N72" s="7"/>
      <c r="O72" s="7"/>
      <c r="P72" s="7"/>
      <c r="Q72" s="7"/>
      <c r="U72" s="8">
        <f t="shared" si="1"/>
        <v>3</v>
      </c>
      <c r="V72" s="8">
        <f t="shared" si="2"/>
        <v>31</v>
      </c>
      <c r="W72" s="8" t="str">
        <f t="shared" si="3"/>
        <v/>
      </c>
      <c r="X72" s="8" t="str">
        <f t="shared" si="4"/>
        <v>#N/A</v>
      </c>
    </row>
    <row r="73">
      <c r="A73" s="4">
        <f t="shared" si="5"/>
        <v>72</v>
      </c>
      <c r="B73" s="4" t="s">
        <v>281</v>
      </c>
      <c r="C73" s="4" t="s">
        <v>284</v>
      </c>
      <c r="D73" s="4" t="s">
        <v>10</v>
      </c>
      <c r="E73" s="4" t="s">
        <v>145</v>
      </c>
      <c r="F73" s="5">
        <v>0.9</v>
      </c>
      <c r="G73" s="10">
        <v>1.0</v>
      </c>
      <c r="H73" s="7"/>
      <c r="I73" s="7"/>
      <c r="J73" s="7"/>
      <c r="K73" s="7"/>
      <c r="L73" s="7"/>
      <c r="M73" s="7"/>
      <c r="N73" s="7"/>
      <c r="O73" s="7"/>
      <c r="P73" s="7"/>
      <c r="Q73" s="7"/>
      <c r="U73" s="8" t="str">
        <f t="shared" si="1"/>
        <v/>
      </c>
      <c r="V73" s="8" t="str">
        <f t="shared" si="2"/>
        <v>#N/A</v>
      </c>
      <c r="W73" s="8">
        <f t="shared" si="3"/>
        <v>0.9</v>
      </c>
      <c r="X73" s="8">
        <f t="shared" si="4"/>
        <v>28</v>
      </c>
    </row>
    <row r="74">
      <c r="A74" s="4">
        <f t="shared" si="5"/>
        <v>73</v>
      </c>
      <c r="B74" s="4" t="s">
        <v>281</v>
      </c>
      <c r="C74" s="4" t="s">
        <v>288</v>
      </c>
      <c r="D74" s="4" t="s">
        <v>8</v>
      </c>
      <c r="E74" s="4" t="s">
        <v>93</v>
      </c>
      <c r="F74" s="5">
        <v>4.3</v>
      </c>
      <c r="G74" s="10">
        <v>1.0</v>
      </c>
      <c r="H74" s="7"/>
      <c r="I74" s="7"/>
      <c r="J74" s="7"/>
      <c r="K74" s="7"/>
      <c r="L74" s="7"/>
      <c r="M74" s="7"/>
      <c r="N74" s="7"/>
      <c r="O74" s="7"/>
      <c r="P74" s="7"/>
      <c r="Q74" s="7"/>
      <c r="U74" s="8">
        <f t="shared" si="1"/>
        <v>4.3</v>
      </c>
      <c r="V74" s="8">
        <f t="shared" si="2"/>
        <v>21</v>
      </c>
      <c r="W74" s="8" t="str">
        <f t="shared" si="3"/>
        <v/>
      </c>
      <c r="X74" s="8" t="str">
        <f t="shared" si="4"/>
        <v>#N/A</v>
      </c>
    </row>
    <row r="75">
      <c r="A75" s="4">
        <f t="shared" si="5"/>
        <v>74</v>
      </c>
      <c r="B75" s="4" t="s">
        <v>294</v>
      </c>
      <c r="C75" s="4" t="s">
        <v>286</v>
      </c>
      <c r="D75" s="4" t="s">
        <v>8</v>
      </c>
      <c r="E75" s="4" t="s">
        <v>123</v>
      </c>
      <c r="F75" s="5">
        <v>1.7</v>
      </c>
      <c r="G75" s="10">
        <v>1.0</v>
      </c>
      <c r="H75" s="7"/>
      <c r="I75" s="7"/>
      <c r="J75" s="7"/>
      <c r="K75" s="7"/>
      <c r="L75" s="7"/>
      <c r="M75" s="7"/>
      <c r="N75" s="7"/>
      <c r="O75" s="7"/>
      <c r="P75" s="7"/>
      <c r="Q75" s="7"/>
      <c r="U75" s="8">
        <f t="shared" si="1"/>
        <v>1.7</v>
      </c>
      <c r="V75" s="8">
        <f t="shared" si="2"/>
        <v>57</v>
      </c>
      <c r="W75" s="8" t="str">
        <f t="shared" si="3"/>
        <v/>
      </c>
      <c r="X75" s="8" t="str">
        <f t="shared" si="4"/>
        <v>#N/A</v>
      </c>
    </row>
    <row r="76">
      <c r="A76" s="4">
        <f t="shared" si="5"/>
        <v>75</v>
      </c>
      <c r="B76" s="4" t="s">
        <v>286</v>
      </c>
      <c r="C76" s="4" t="s">
        <v>286</v>
      </c>
      <c r="D76" s="4" t="s">
        <v>8</v>
      </c>
      <c r="E76" s="4" t="s">
        <v>97</v>
      </c>
      <c r="F76" s="5">
        <v>3.6</v>
      </c>
      <c r="G76" s="10">
        <v>2.0</v>
      </c>
      <c r="H76" s="7"/>
      <c r="I76" s="7"/>
      <c r="J76" s="7"/>
      <c r="K76" s="7"/>
      <c r="L76" s="7"/>
      <c r="M76" s="7"/>
      <c r="N76" s="7"/>
      <c r="O76" s="7"/>
      <c r="P76" s="7"/>
      <c r="Q76" s="7"/>
      <c r="U76" s="8">
        <f t="shared" si="1"/>
        <v>3.6</v>
      </c>
      <c r="V76" s="8">
        <f t="shared" si="2"/>
        <v>25</v>
      </c>
      <c r="W76" s="8" t="str">
        <f t="shared" si="3"/>
        <v/>
      </c>
      <c r="X76" s="8" t="str">
        <f t="shared" si="4"/>
        <v>#N/A</v>
      </c>
    </row>
    <row r="77">
      <c r="A77" s="4">
        <f t="shared" si="5"/>
        <v>76</v>
      </c>
      <c r="B77" s="4" t="s">
        <v>284</v>
      </c>
      <c r="C77" s="4" t="s">
        <v>280</v>
      </c>
      <c r="D77" s="4" t="s">
        <v>8</v>
      </c>
      <c r="E77" s="4" t="s">
        <v>84</v>
      </c>
      <c r="F77" s="5">
        <v>5.0</v>
      </c>
      <c r="G77" s="10">
        <v>1.0</v>
      </c>
      <c r="H77" s="7"/>
      <c r="I77" s="7"/>
      <c r="J77" s="7"/>
      <c r="K77" s="7"/>
      <c r="L77" s="7"/>
      <c r="M77" s="7"/>
      <c r="N77" s="7"/>
      <c r="O77" s="7"/>
      <c r="P77" s="7"/>
      <c r="Q77" s="7"/>
      <c r="U77" s="8">
        <f t="shared" si="1"/>
        <v>5</v>
      </c>
      <c r="V77" s="8">
        <f t="shared" si="2"/>
        <v>16</v>
      </c>
      <c r="W77" s="8" t="str">
        <f t="shared" si="3"/>
        <v/>
      </c>
      <c r="X77" s="8" t="str">
        <f t="shared" si="4"/>
        <v>#N/A</v>
      </c>
    </row>
    <row r="78">
      <c r="A78" s="4">
        <f t="shared" si="5"/>
        <v>77</v>
      </c>
      <c r="B78" s="4" t="s">
        <v>274</v>
      </c>
      <c r="C78" s="4" t="s">
        <v>274</v>
      </c>
      <c r="D78" s="4" t="s">
        <v>8</v>
      </c>
      <c r="E78" s="4" t="s">
        <v>394</v>
      </c>
      <c r="F78" s="5">
        <v>1.8</v>
      </c>
      <c r="G78" s="10">
        <v>3.0</v>
      </c>
      <c r="H78" s="7"/>
      <c r="I78" s="7"/>
      <c r="J78" s="7"/>
      <c r="K78" s="7"/>
      <c r="L78" s="7"/>
      <c r="M78" s="7"/>
      <c r="N78" s="7"/>
      <c r="O78" s="7"/>
      <c r="P78" s="7"/>
      <c r="Q78" s="7"/>
      <c r="U78" s="8">
        <f t="shared" si="1"/>
        <v>1.8</v>
      </c>
      <c r="V78" s="8">
        <f t="shared" si="2"/>
        <v>53</v>
      </c>
      <c r="W78" s="8" t="str">
        <f t="shared" si="3"/>
        <v/>
      </c>
      <c r="X78" s="8" t="str">
        <f t="shared" si="4"/>
        <v>#N/A</v>
      </c>
    </row>
    <row r="79">
      <c r="A79" s="4">
        <f t="shared" si="5"/>
        <v>78</v>
      </c>
      <c r="B79" s="4" t="s">
        <v>273</v>
      </c>
      <c r="C79" s="4" t="s">
        <v>284</v>
      </c>
      <c r="D79" s="4" t="s">
        <v>8</v>
      </c>
      <c r="E79" s="4" t="s">
        <v>100</v>
      </c>
      <c r="F79" s="5">
        <v>0.9</v>
      </c>
      <c r="G79" s="10">
        <v>1.0</v>
      </c>
      <c r="H79" s="7"/>
      <c r="I79" s="7"/>
      <c r="J79" s="7"/>
      <c r="K79" s="7"/>
      <c r="L79" s="7"/>
      <c r="M79" s="7"/>
      <c r="N79" s="7"/>
      <c r="O79" s="7"/>
      <c r="P79" s="7"/>
      <c r="Q79" s="7"/>
      <c r="U79" s="8">
        <f t="shared" si="1"/>
        <v>0.9</v>
      </c>
      <c r="V79" s="8">
        <f t="shared" si="2"/>
        <v>76</v>
      </c>
      <c r="W79" s="8" t="str">
        <f t="shared" si="3"/>
        <v/>
      </c>
      <c r="X79" s="8" t="str">
        <f t="shared" si="4"/>
        <v>#N/A</v>
      </c>
    </row>
    <row r="80">
      <c r="A80" s="4">
        <f t="shared" si="5"/>
        <v>79</v>
      </c>
      <c r="B80" s="4" t="s">
        <v>287</v>
      </c>
      <c r="C80" s="4" t="s">
        <v>284</v>
      </c>
      <c r="D80" s="4" t="s">
        <v>8</v>
      </c>
      <c r="E80" s="4" t="s">
        <v>85</v>
      </c>
      <c r="F80" s="5">
        <v>3.4</v>
      </c>
      <c r="G80" s="10">
        <v>1.0</v>
      </c>
      <c r="H80" s="7"/>
      <c r="I80" s="7"/>
      <c r="J80" s="7"/>
      <c r="K80" s="7"/>
      <c r="L80" s="7"/>
      <c r="M80" s="7"/>
      <c r="N80" s="7"/>
      <c r="O80" s="7"/>
      <c r="P80" s="7"/>
      <c r="Q80" s="7"/>
      <c r="U80" s="8">
        <f t="shared" si="1"/>
        <v>3.4</v>
      </c>
      <c r="V80" s="8">
        <f t="shared" si="2"/>
        <v>28</v>
      </c>
      <c r="W80" s="8" t="str">
        <f t="shared" si="3"/>
        <v/>
      </c>
      <c r="X80" s="8" t="str">
        <f t="shared" si="4"/>
        <v>#N/A</v>
      </c>
    </row>
    <row r="81">
      <c r="A81" s="4">
        <f t="shared" si="5"/>
        <v>80</v>
      </c>
      <c r="B81" s="4" t="s">
        <v>280</v>
      </c>
      <c r="C81" s="4" t="s">
        <v>273</v>
      </c>
      <c r="D81" s="4" t="s">
        <v>8</v>
      </c>
      <c r="E81" s="4" t="s">
        <v>32</v>
      </c>
      <c r="F81" s="5">
        <v>2.0</v>
      </c>
      <c r="G81" s="10">
        <v>1.0</v>
      </c>
      <c r="H81" s="7"/>
      <c r="I81" s="7"/>
      <c r="J81" s="7"/>
      <c r="K81" s="7"/>
      <c r="L81" s="7"/>
      <c r="M81" s="7"/>
      <c r="N81" s="7"/>
      <c r="O81" s="7"/>
      <c r="P81" s="7"/>
      <c r="Q81" s="7"/>
      <c r="U81" s="8">
        <f t="shared" si="1"/>
        <v>2</v>
      </c>
      <c r="V81" s="8">
        <f t="shared" si="2"/>
        <v>44</v>
      </c>
      <c r="W81" s="8" t="str">
        <f t="shared" si="3"/>
        <v/>
      </c>
      <c r="X81" s="8" t="str">
        <f t="shared" si="4"/>
        <v>#N/A</v>
      </c>
    </row>
    <row r="82">
      <c r="A82" s="4">
        <f t="shared" si="5"/>
        <v>81</v>
      </c>
      <c r="B82" s="4" t="s">
        <v>285</v>
      </c>
      <c r="C82" s="4" t="s">
        <v>288</v>
      </c>
      <c r="D82" s="4" t="s">
        <v>8</v>
      </c>
      <c r="E82" s="4" t="s">
        <v>257</v>
      </c>
      <c r="F82" s="5">
        <v>0.9</v>
      </c>
      <c r="G82" s="10">
        <v>1.0</v>
      </c>
      <c r="H82" s="7"/>
      <c r="I82" s="7"/>
      <c r="J82" s="7"/>
      <c r="K82" s="7"/>
      <c r="L82" s="7"/>
      <c r="M82" s="7"/>
      <c r="N82" s="7"/>
      <c r="O82" s="7"/>
      <c r="P82" s="7"/>
      <c r="Q82" s="7"/>
      <c r="U82" s="8">
        <f t="shared" si="1"/>
        <v>0.9</v>
      </c>
      <c r="V82" s="8">
        <f t="shared" si="2"/>
        <v>76</v>
      </c>
      <c r="W82" s="8" t="str">
        <f t="shared" si="3"/>
        <v/>
      </c>
      <c r="X82" s="8" t="str">
        <f t="shared" si="4"/>
        <v>#N/A</v>
      </c>
    </row>
    <row r="83">
      <c r="A83" s="4">
        <f t="shared" si="5"/>
        <v>82</v>
      </c>
      <c r="B83" s="4" t="s">
        <v>293</v>
      </c>
      <c r="C83" s="4" t="s">
        <v>285</v>
      </c>
      <c r="D83" s="4" t="s">
        <v>8</v>
      </c>
      <c r="E83" s="4" t="s">
        <v>108</v>
      </c>
      <c r="F83" s="5">
        <v>1.0</v>
      </c>
      <c r="G83" s="10">
        <v>1.0</v>
      </c>
      <c r="H83" s="7"/>
      <c r="I83" s="7"/>
      <c r="J83" s="7"/>
      <c r="K83" s="7"/>
      <c r="L83" s="7"/>
      <c r="M83" s="7"/>
      <c r="N83" s="7"/>
      <c r="O83" s="7"/>
      <c r="P83" s="7"/>
      <c r="Q83" s="7"/>
      <c r="U83" s="8">
        <f t="shared" si="1"/>
        <v>1</v>
      </c>
      <c r="V83" s="8">
        <f t="shared" si="2"/>
        <v>74</v>
      </c>
      <c r="W83" s="8" t="str">
        <f t="shared" si="3"/>
        <v/>
      </c>
      <c r="X83" s="8" t="str">
        <f t="shared" si="4"/>
        <v>#N/A</v>
      </c>
    </row>
    <row r="84">
      <c r="A84" s="4">
        <f t="shared" si="5"/>
        <v>83</v>
      </c>
      <c r="B84" s="4" t="s">
        <v>288</v>
      </c>
      <c r="C84" s="4" t="s">
        <v>273</v>
      </c>
      <c r="D84" s="4" t="s">
        <v>8</v>
      </c>
      <c r="E84" s="4" t="s">
        <v>171</v>
      </c>
      <c r="F84" s="5">
        <v>2.7</v>
      </c>
      <c r="G84" s="10">
        <v>1.0</v>
      </c>
      <c r="H84" s="7"/>
      <c r="I84" s="7"/>
      <c r="J84" s="7"/>
      <c r="K84" s="7"/>
      <c r="L84" s="7"/>
      <c r="M84" s="7"/>
      <c r="N84" s="7"/>
      <c r="O84" s="7"/>
      <c r="P84" s="7"/>
      <c r="Q84" s="7"/>
      <c r="U84" s="8">
        <f t="shared" si="1"/>
        <v>2.7</v>
      </c>
      <c r="V84" s="8">
        <f t="shared" si="2"/>
        <v>33</v>
      </c>
      <c r="W84" s="8" t="str">
        <f t="shared" si="3"/>
        <v/>
      </c>
      <c r="X84" s="8" t="str">
        <f t="shared" si="4"/>
        <v>#N/A</v>
      </c>
    </row>
    <row r="85">
      <c r="A85" s="4">
        <f t="shared" si="5"/>
        <v>84</v>
      </c>
      <c r="B85" s="4" t="s">
        <v>281</v>
      </c>
      <c r="C85" s="4" t="s">
        <v>284</v>
      </c>
      <c r="D85" s="4" t="s">
        <v>8</v>
      </c>
      <c r="E85" s="4" t="s">
        <v>92</v>
      </c>
      <c r="F85" s="5">
        <v>2.1</v>
      </c>
      <c r="G85" s="10">
        <v>1.0</v>
      </c>
      <c r="H85" s="7"/>
      <c r="I85" s="7"/>
      <c r="J85" s="7"/>
      <c r="K85" s="7"/>
      <c r="L85" s="7"/>
      <c r="M85" s="7"/>
      <c r="N85" s="7"/>
      <c r="O85" s="7"/>
      <c r="P85" s="7"/>
      <c r="Q85" s="7"/>
      <c r="U85" s="8">
        <f t="shared" si="1"/>
        <v>2.1</v>
      </c>
      <c r="V85" s="8">
        <f t="shared" si="2"/>
        <v>42</v>
      </c>
      <c r="W85" s="8" t="str">
        <f t="shared" si="3"/>
        <v/>
      </c>
      <c r="X85" s="8" t="str">
        <f t="shared" si="4"/>
        <v>#N/A</v>
      </c>
    </row>
    <row r="86">
      <c r="A86" s="4">
        <f t="shared" si="5"/>
        <v>85</v>
      </c>
      <c r="B86" s="4" t="s">
        <v>294</v>
      </c>
      <c r="C86" s="4" t="s">
        <v>274</v>
      </c>
      <c r="D86" s="4" t="s">
        <v>8</v>
      </c>
      <c r="E86" s="4" t="s">
        <v>319</v>
      </c>
      <c r="F86" s="5">
        <v>1.3</v>
      </c>
      <c r="G86" s="10">
        <v>1.0</v>
      </c>
      <c r="H86" s="7"/>
      <c r="I86" s="7"/>
      <c r="J86" s="7"/>
      <c r="K86" s="7"/>
      <c r="L86" s="7"/>
      <c r="M86" s="7"/>
      <c r="N86" s="7"/>
      <c r="O86" s="7"/>
      <c r="P86" s="7"/>
      <c r="Q86" s="7"/>
      <c r="U86" s="8">
        <f t="shared" si="1"/>
        <v>1.3</v>
      </c>
      <c r="V86" s="8">
        <f t="shared" si="2"/>
        <v>64</v>
      </c>
      <c r="W86" s="8" t="str">
        <f t="shared" si="3"/>
        <v/>
      </c>
      <c r="X86" s="8" t="str">
        <f t="shared" si="4"/>
        <v>#N/A</v>
      </c>
    </row>
    <row r="87">
      <c r="A87" s="4">
        <f t="shared" si="5"/>
        <v>86</v>
      </c>
      <c r="B87" s="4" t="s">
        <v>286</v>
      </c>
      <c r="C87" s="4" t="s">
        <v>287</v>
      </c>
      <c r="D87" s="4" t="s">
        <v>8</v>
      </c>
      <c r="E87" s="4" t="s">
        <v>336</v>
      </c>
      <c r="F87" s="5">
        <v>1.2</v>
      </c>
      <c r="G87" s="10">
        <v>1.0</v>
      </c>
      <c r="H87" s="7"/>
      <c r="I87" s="7"/>
      <c r="J87" s="7"/>
      <c r="K87" s="7"/>
      <c r="L87" s="7"/>
      <c r="M87" s="7"/>
      <c r="N87" s="7"/>
      <c r="O87" s="7"/>
      <c r="P87" s="7"/>
      <c r="Q87" s="7"/>
      <c r="U87" s="8">
        <f t="shared" si="1"/>
        <v>1.2</v>
      </c>
      <c r="V87" s="8">
        <f t="shared" si="2"/>
        <v>67</v>
      </c>
      <c r="W87" s="8" t="str">
        <f t="shared" si="3"/>
        <v/>
      </c>
      <c r="X87" s="8" t="str">
        <f t="shared" si="4"/>
        <v>#N/A</v>
      </c>
    </row>
    <row r="88">
      <c r="A88" s="4">
        <f t="shared" si="5"/>
        <v>87</v>
      </c>
      <c r="B88" s="4" t="s">
        <v>284</v>
      </c>
      <c r="C88" s="4" t="s">
        <v>294</v>
      </c>
      <c r="D88" s="4" t="s">
        <v>8</v>
      </c>
      <c r="E88" s="4" t="s">
        <v>230</v>
      </c>
      <c r="F88" s="5">
        <v>2.9</v>
      </c>
      <c r="G88" s="10">
        <v>1.0</v>
      </c>
      <c r="H88" s="7"/>
      <c r="I88" s="7"/>
      <c r="J88" s="7"/>
      <c r="K88" s="7"/>
      <c r="L88" s="7"/>
      <c r="M88" s="7"/>
      <c r="N88" s="7"/>
      <c r="O88" s="7"/>
      <c r="P88" s="7"/>
      <c r="Q88" s="7"/>
      <c r="U88" s="8">
        <f t="shared" si="1"/>
        <v>2.9</v>
      </c>
      <c r="V88" s="8">
        <f t="shared" si="2"/>
        <v>32</v>
      </c>
      <c r="W88" s="8" t="str">
        <f t="shared" si="3"/>
        <v/>
      </c>
      <c r="X88" s="8" t="str">
        <f t="shared" si="4"/>
        <v>#N/A</v>
      </c>
    </row>
    <row r="89">
      <c r="A89" s="4">
        <f t="shared" si="5"/>
        <v>88</v>
      </c>
      <c r="B89" s="4" t="s">
        <v>274</v>
      </c>
      <c r="C89" s="4" t="s">
        <v>284</v>
      </c>
      <c r="D89" s="4" t="s">
        <v>8</v>
      </c>
      <c r="E89" s="4" t="s">
        <v>316</v>
      </c>
      <c r="F89" s="5">
        <v>2.5</v>
      </c>
      <c r="G89" s="10">
        <v>1.0</v>
      </c>
      <c r="H89" s="7"/>
      <c r="I89" s="7"/>
      <c r="J89" s="7"/>
      <c r="K89" s="7"/>
      <c r="L89" s="7"/>
      <c r="M89" s="7"/>
      <c r="N89" s="7"/>
      <c r="O89" s="7"/>
      <c r="P89" s="7"/>
      <c r="Q89" s="7"/>
      <c r="U89" s="8">
        <f t="shared" si="1"/>
        <v>2.5</v>
      </c>
      <c r="V89" s="8">
        <f t="shared" si="2"/>
        <v>34</v>
      </c>
      <c r="W89" s="8" t="str">
        <f t="shared" si="3"/>
        <v/>
      </c>
      <c r="X89" s="8" t="str">
        <f t="shared" si="4"/>
        <v>#N/A</v>
      </c>
    </row>
    <row r="90">
      <c r="A90" s="4">
        <f t="shared" si="5"/>
        <v>89</v>
      </c>
      <c r="B90" s="4" t="s">
        <v>273</v>
      </c>
      <c r="C90" s="4" t="s">
        <v>286</v>
      </c>
      <c r="D90" s="4" t="s">
        <v>8</v>
      </c>
      <c r="E90" s="4" t="s">
        <v>328</v>
      </c>
      <c r="F90" s="5">
        <v>1.6</v>
      </c>
      <c r="G90" s="10">
        <v>1.0</v>
      </c>
      <c r="H90" s="7"/>
      <c r="I90" s="7"/>
      <c r="J90" s="7"/>
      <c r="K90" s="7"/>
      <c r="L90" s="7"/>
      <c r="M90" s="7"/>
      <c r="N90" s="7"/>
      <c r="O90" s="7"/>
      <c r="P90" s="7"/>
      <c r="Q90" s="7"/>
      <c r="U90" s="8">
        <f t="shared" si="1"/>
        <v>1.6</v>
      </c>
      <c r="V90" s="8">
        <f t="shared" si="2"/>
        <v>58</v>
      </c>
      <c r="W90" s="8" t="str">
        <f t="shared" si="3"/>
        <v/>
      </c>
      <c r="X90" s="8" t="str">
        <f t="shared" si="4"/>
        <v>#N/A</v>
      </c>
    </row>
    <row r="91">
      <c r="A91" s="4">
        <f t="shared" si="5"/>
        <v>90</v>
      </c>
      <c r="B91" s="4" t="s">
        <v>287</v>
      </c>
      <c r="C91" s="4" t="s">
        <v>287</v>
      </c>
      <c r="D91" s="4" t="s">
        <v>8</v>
      </c>
      <c r="E91" s="4" t="s">
        <v>244</v>
      </c>
      <c r="F91" s="5">
        <v>1.0</v>
      </c>
      <c r="G91" s="10">
        <v>1.0</v>
      </c>
      <c r="H91" s="7"/>
      <c r="I91" s="7"/>
      <c r="J91" s="7"/>
      <c r="K91" s="7"/>
      <c r="L91" s="7"/>
      <c r="M91" s="7"/>
      <c r="N91" s="7"/>
      <c r="O91" s="7"/>
      <c r="P91" s="7"/>
      <c r="Q91" s="7"/>
      <c r="U91" s="8">
        <f t="shared" si="1"/>
        <v>1</v>
      </c>
      <c r="V91" s="8">
        <f t="shared" si="2"/>
        <v>74</v>
      </c>
      <c r="W91" s="8" t="str">
        <f t="shared" si="3"/>
        <v/>
      </c>
      <c r="X91" s="8" t="str">
        <f t="shared" si="4"/>
        <v>#N/A</v>
      </c>
    </row>
    <row r="92">
      <c r="A92" s="4">
        <f t="shared" si="5"/>
        <v>91</v>
      </c>
      <c r="B92" s="4" t="s">
        <v>280</v>
      </c>
      <c r="C92" s="4" t="s">
        <v>274</v>
      </c>
      <c r="D92" s="4" t="s">
        <v>8</v>
      </c>
      <c r="E92" s="4" t="s">
        <v>62</v>
      </c>
      <c r="F92" s="5">
        <v>1.9</v>
      </c>
      <c r="G92" s="10">
        <v>2.0</v>
      </c>
      <c r="H92" s="7"/>
      <c r="I92" s="7"/>
      <c r="J92" s="7"/>
      <c r="K92" s="7"/>
      <c r="L92" s="7"/>
      <c r="M92" s="7"/>
      <c r="N92" s="7"/>
      <c r="O92" s="7"/>
      <c r="P92" s="7"/>
      <c r="Q92" s="7"/>
      <c r="U92" s="8">
        <f t="shared" si="1"/>
        <v>1.9</v>
      </c>
      <c r="V92" s="8">
        <f t="shared" si="2"/>
        <v>48</v>
      </c>
      <c r="W92" s="8" t="str">
        <f t="shared" si="3"/>
        <v/>
      </c>
      <c r="X92" s="8" t="str">
        <f t="shared" si="4"/>
        <v>#N/A</v>
      </c>
    </row>
    <row r="93">
      <c r="A93" s="4">
        <f t="shared" si="5"/>
        <v>92</v>
      </c>
      <c r="B93" s="4" t="s">
        <v>285</v>
      </c>
      <c r="C93" s="4" t="s">
        <v>286</v>
      </c>
      <c r="D93" s="4" t="s">
        <v>8</v>
      </c>
      <c r="E93" s="4" t="s">
        <v>160</v>
      </c>
      <c r="F93" s="5">
        <v>1.4</v>
      </c>
      <c r="G93" s="10">
        <v>2.0</v>
      </c>
      <c r="H93" s="7"/>
      <c r="I93" s="7"/>
      <c r="J93" s="7"/>
      <c r="K93" s="7"/>
      <c r="L93" s="7"/>
      <c r="M93" s="7"/>
      <c r="N93" s="7"/>
      <c r="O93" s="7"/>
      <c r="P93" s="7"/>
      <c r="Q93" s="7"/>
      <c r="U93" s="8">
        <f t="shared" si="1"/>
        <v>1.4</v>
      </c>
      <c r="V93" s="8">
        <f t="shared" si="2"/>
        <v>62</v>
      </c>
      <c r="W93" s="8" t="str">
        <f t="shared" si="3"/>
        <v/>
      </c>
      <c r="X93" s="8" t="str">
        <f t="shared" si="4"/>
        <v>#N/A</v>
      </c>
    </row>
    <row r="94">
      <c r="A94" s="4">
        <f t="shared" si="5"/>
        <v>93</v>
      </c>
      <c r="B94" s="4" t="s">
        <v>293</v>
      </c>
      <c r="C94" s="4" t="s">
        <v>280</v>
      </c>
      <c r="D94" s="4" t="s">
        <v>8</v>
      </c>
      <c r="E94" s="4" t="s">
        <v>107</v>
      </c>
      <c r="F94" s="5">
        <v>0.9</v>
      </c>
      <c r="G94" s="10">
        <v>1.0</v>
      </c>
      <c r="H94" s="7"/>
      <c r="I94" s="7"/>
      <c r="J94" s="7"/>
      <c r="K94" s="7"/>
      <c r="L94" s="7"/>
      <c r="M94" s="7"/>
      <c r="N94" s="7"/>
      <c r="O94" s="7"/>
      <c r="P94" s="7"/>
      <c r="Q94" s="7"/>
      <c r="U94" s="8">
        <f t="shared" si="1"/>
        <v>0.9</v>
      </c>
      <c r="V94" s="8">
        <f t="shared" si="2"/>
        <v>76</v>
      </c>
      <c r="W94" s="8" t="str">
        <f t="shared" si="3"/>
        <v/>
      </c>
      <c r="X94" s="8" t="str">
        <f t="shared" si="4"/>
        <v>#N/A</v>
      </c>
    </row>
    <row r="95">
      <c r="A95" s="4">
        <f t="shared" si="5"/>
        <v>94</v>
      </c>
      <c r="B95" s="4" t="s">
        <v>288</v>
      </c>
      <c r="C95" s="4" t="s">
        <v>285</v>
      </c>
      <c r="D95" s="4" t="s">
        <v>8</v>
      </c>
      <c r="E95" s="4" t="s">
        <v>96</v>
      </c>
      <c r="F95" s="5">
        <v>2.2</v>
      </c>
      <c r="G95" s="10">
        <v>1.0</v>
      </c>
      <c r="H95" s="7"/>
      <c r="I95" s="7"/>
      <c r="J95" s="7"/>
      <c r="K95" s="7"/>
      <c r="L95" s="7"/>
      <c r="M95" s="7"/>
      <c r="N95" s="7"/>
      <c r="O95" s="7"/>
      <c r="P95" s="7"/>
      <c r="Q95" s="7"/>
      <c r="U95" s="8">
        <f t="shared" si="1"/>
        <v>2.2</v>
      </c>
      <c r="V95" s="8">
        <f t="shared" si="2"/>
        <v>38</v>
      </c>
      <c r="W95" s="8" t="str">
        <f t="shared" si="3"/>
        <v/>
      </c>
      <c r="X95" s="8" t="str">
        <f t="shared" si="4"/>
        <v>#N/A</v>
      </c>
    </row>
    <row r="96">
      <c r="A96" s="4">
        <f t="shared" si="5"/>
        <v>95</v>
      </c>
      <c r="B96" s="4" t="s">
        <v>281</v>
      </c>
      <c r="C96" s="4" t="s">
        <v>274</v>
      </c>
      <c r="D96" s="4" t="s">
        <v>8</v>
      </c>
      <c r="E96" s="4" t="s">
        <v>395</v>
      </c>
      <c r="F96" s="5">
        <v>1.2</v>
      </c>
      <c r="G96" s="10">
        <v>1.0</v>
      </c>
      <c r="H96" s="7"/>
      <c r="I96" s="7"/>
      <c r="J96" s="7"/>
      <c r="K96" s="7"/>
      <c r="L96" s="7"/>
      <c r="M96" s="7"/>
      <c r="N96" s="7"/>
      <c r="O96" s="7"/>
      <c r="P96" s="7"/>
      <c r="Q96" s="7"/>
      <c r="U96" s="8">
        <f t="shared" si="1"/>
        <v>1.2</v>
      </c>
      <c r="V96" s="8">
        <f t="shared" si="2"/>
        <v>67</v>
      </c>
      <c r="W96" s="8" t="str">
        <f t="shared" si="3"/>
        <v/>
      </c>
      <c r="X96" s="8" t="str">
        <f t="shared" si="4"/>
        <v>#N/A</v>
      </c>
    </row>
    <row r="97">
      <c r="A97" s="4">
        <f t="shared" si="5"/>
        <v>96</v>
      </c>
      <c r="B97" s="4" t="s">
        <v>294</v>
      </c>
      <c r="C97" s="4" t="s">
        <v>280</v>
      </c>
      <c r="D97" s="4" t="s">
        <v>8</v>
      </c>
      <c r="E97" s="4" t="s">
        <v>221</v>
      </c>
      <c r="F97" s="5">
        <v>0.7</v>
      </c>
      <c r="G97" s="10">
        <v>1.0</v>
      </c>
      <c r="H97" s="7"/>
      <c r="I97" s="7"/>
      <c r="J97" s="7"/>
      <c r="K97" s="7"/>
      <c r="L97" s="7"/>
      <c r="M97" s="7"/>
      <c r="N97" s="7"/>
      <c r="O97" s="7"/>
      <c r="P97" s="7"/>
      <c r="Q97" s="7"/>
      <c r="U97" s="8">
        <f t="shared" si="1"/>
        <v>0.7</v>
      </c>
      <c r="V97" s="8">
        <f t="shared" si="2"/>
        <v>91</v>
      </c>
      <c r="W97" s="8" t="str">
        <f t="shared" si="3"/>
        <v/>
      </c>
      <c r="X97" s="8" t="str">
        <f t="shared" si="4"/>
        <v>#N/A</v>
      </c>
    </row>
    <row r="98">
      <c r="A98" s="4">
        <f t="shared" si="5"/>
        <v>97</v>
      </c>
      <c r="B98" s="4" t="s">
        <v>286</v>
      </c>
      <c r="C98" s="4" t="s">
        <v>284</v>
      </c>
      <c r="D98" s="4" t="s">
        <v>8</v>
      </c>
      <c r="E98" s="4" t="s">
        <v>268</v>
      </c>
      <c r="F98" s="5">
        <v>1.1</v>
      </c>
      <c r="G98" s="10">
        <v>1.0</v>
      </c>
      <c r="H98" s="7"/>
      <c r="I98" s="7"/>
      <c r="J98" s="7"/>
      <c r="K98" s="7"/>
      <c r="L98" s="7"/>
      <c r="M98" s="7"/>
      <c r="N98" s="7"/>
      <c r="O98" s="7"/>
      <c r="P98" s="7"/>
      <c r="Q98" s="7"/>
      <c r="U98" s="8">
        <f t="shared" si="1"/>
        <v>1.1</v>
      </c>
      <c r="V98" s="8">
        <f t="shared" si="2"/>
        <v>71</v>
      </c>
      <c r="W98" s="8" t="str">
        <f t="shared" si="3"/>
        <v/>
      </c>
      <c r="X98" s="8" t="str">
        <f t="shared" si="4"/>
        <v>#N/A</v>
      </c>
    </row>
    <row r="99">
      <c r="A99" s="4">
        <f t="shared" si="5"/>
        <v>98</v>
      </c>
      <c r="B99" s="4" t="s">
        <v>284</v>
      </c>
      <c r="C99" s="4" t="s">
        <v>294</v>
      </c>
      <c r="D99" s="4" t="s">
        <v>8</v>
      </c>
      <c r="E99" s="4" t="s">
        <v>333</v>
      </c>
      <c r="F99" s="5">
        <v>2.1</v>
      </c>
      <c r="G99" s="10">
        <v>1.0</v>
      </c>
      <c r="H99" s="7"/>
      <c r="I99" s="7"/>
      <c r="J99" s="7"/>
      <c r="K99" s="7"/>
      <c r="L99" s="7"/>
      <c r="M99" s="7"/>
      <c r="N99" s="7"/>
      <c r="O99" s="7"/>
      <c r="P99" s="7"/>
      <c r="Q99" s="7"/>
      <c r="U99" s="8">
        <f t="shared" si="1"/>
        <v>2.1</v>
      </c>
      <c r="V99" s="8">
        <f t="shared" si="2"/>
        <v>42</v>
      </c>
      <c r="W99" s="8" t="str">
        <f t="shared" si="3"/>
        <v/>
      </c>
      <c r="X99" s="8" t="str">
        <f t="shared" si="4"/>
        <v>#N/A</v>
      </c>
    </row>
    <row r="100">
      <c r="A100" s="4">
        <f t="shared" si="5"/>
        <v>99</v>
      </c>
      <c r="B100" s="4" t="s">
        <v>274</v>
      </c>
      <c r="C100" s="4" t="s">
        <v>287</v>
      </c>
      <c r="D100" s="4" t="s">
        <v>8</v>
      </c>
      <c r="E100" s="4" t="s">
        <v>161</v>
      </c>
      <c r="F100" s="5">
        <v>1.5</v>
      </c>
      <c r="G100" s="10">
        <v>1.0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U100" s="8">
        <f t="shared" si="1"/>
        <v>1.5</v>
      </c>
      <c r="V100" s="8">
        <f t="shared" si="2"/>
        <v>60</v>
      </c>
      <c r="W100" s="8" t="str">
        <f t="shared" si="3"/>
        <v/>
      </c>
      <c r="X100" s="8" t="str">
        <f t="shared" si="4"/>
        <v>#N/A</v>
      </c>
    </row>
    <row r="101">
      <c r="A101" s="4">
        <f t="shared" si="5"/>
        <v>100</v>
      </c>
      <c r="B101" s="4" t="s">
        <v>273</v>
      </c>
      <c r="C101" s="4" t="s">
        <v>286</v>
      </c>
      <c r="D101" s="4" t="s">
        <v>8</v>
      </c>
      <c r="E101" s="4" t="s">
        <v>396</v>
      </c>
      <c r="F101" s="5">
        <v>1.8</v>
      </c>
      <c r="G101" s="10">
        <v>1.0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U101" s="8">
        <f t="shared" si="1"/>
        <v>1.8</v>
      </c>
      <c r="V101" s="8">
        <f t="shared" si="2"/>
        <v>53</v>
      </c>
      <c r="W101" s="8" t="str">
        <f t="shared" si="3"/>
        <v/>
      </c>
      <c r="X101" s="8" t="str">
        <f t="shared" si="4"/>
        <v>#N/A</v>
      </c>
    </row>
    <row r="102">
      <c r="A102" s="4">
        <f t="shared" si="5"/>
        <v>101</v>
      </c>
      <c r="B102" s="4" t="s">
        <v>287</v>
      </c>
      <c r="C102" s="4" t="s">
        <v>285</v>
      </c>
      <c r="D102" s="4" t="s">
        <v>8</v>
      </c>
      <c r="E102" s="4" t="s">
        <v>334</v>
      </c>
      <c r="F102" s="5">
        <v>1.3</v>
      </c>
      <c r="G102" s="10">
        <v>1.0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U102" s="8">
        <f t="shared" si="1"/>
        <v>1.3</v>
      </c>
      <c r="V102" s="8">
        <f t="shared" si="2"/>
        <v>64</v>
      </c>
      <c r="W102" s="8" t="str">
        <f t="shared" si="3"/>
        <v/>
      </c>
      <c r="X102" s="8" t="str">
        <f t="shared" si="4"/>
        <v>#N/A</v>
      </c>
    </row>
    <row r="103">
      <c r="A103" s="4">
        <f t="shared" si="5"/>
        <v>102</v>
      </c>
      <c r="B103" s="4" t="s">
        <v>280</v>
      </c>
      <c r="C103" s="4" t="s">
        <v>287</v>
      </c>
      <c r="D103" s="4" t="s">
        <v>8</v>
      </c>
      <c r="E103" s="4" t="s">
        <v>246</v>
      </c>
      <c r="F103" s="5">
        <v>1.2</v>
      </c>
      <c r="G103" s="10">
        <v>1.0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U103" s="8">
        <f t="shared" si="1"/>
        <v>1.2</v>
      </c>
      <c r="V103" s="8">
        <f t="shared" si="2"/>
        <v>67</v>
      </c>
      <c r="W103" s="8" t="str">
        <f t="shared" si="3"/>
        <v/>
      </c>
      <c r="X103" s="8" t="str">
        <f t="shared" si="4"/>
        <v>#N/A</v>
      </c>
    </row>
    <row r="104">
      <c r="A104" s="4">
        <f t="shared" si="5"/>
        <v>103</v>
      </c>
      <c r="B104" s="4" t="s">
        <v>285</v>
      </c>
      <c r="C104" s="4" t="s">
        <v>284</v>
      </c>
      <c r="D104" s="4" t="s">
        <v>8</v>
      </c>
      <c r="E104" s="4" t="s">
        <v>113</v>
      </c>
      <c r="F104" s="5">
        <v>1.9</v>
      </c>
      <c r="G104" s="10">
        <v>1.0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U104" s="8">
        <f t="shared" si="1"/>
        <v>1.9</v>
      </c>
      <c r="V104" s="8">
        <f t="shared" si="2"/>
        <v>48</v>
      </c>
      <c r="W104" s="8" t="str">
        <f t="shared" si="3"/>
        <v/>
      </c>
      <c r="X104" s="8" t="str">
        <f t="shared" si="4"/>
        <v>#N/A</v>
      </c>
    </row>
    <row r="105">
      <c r="A105" s="4">
        <f t="shared" si="5"/>
        <v>104</v>
      </c>
      <c r="B105" s="4" t="s">
        <v>293</v>
      </c>
      <c r="C105" s="4" t="s">
        <v>293</v>
      </c>
      <c r="D105" s="4" t="s">
        <v>8</v>
      </c>
      <c r="E105" s="4" t="s">
        <v>130</v>
      </c>
      <c r="F105" s="5">
        <v>0.8</v>
      </c>
      <c r="G105" s="10">
        <v>1.0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U105" s="8">
        <f t="shared" si="1"/>
        <v>0.8</v>
      </c>
      <c r="V105" s="8">
        <f t="shared" si="2"/>
        <v>80</v>
      </c>
      <c r="W105" s="8" t="str">
        <f t="shared" si="3"/>
        <v/>
      </c>
      <c r="X105" s="8" t="str">
        <f t="shared" si="4"/>
        <v>#N/A</v>
      </c>
    </row>
    <row r="106">
      <c r="A106" s="4">
        <f t="shared" si="5"/>
        <v>105</v>
      </c>
      <c r="B106" s="4" t="s">
        <v>288</v>
      </c>
      <c r="C106" s="4" t="s">
        <v>285</v>
      </c>
      <c r="D106" s="4" t="s">
        <v>8</v>
      </c>
      <c r="E106" s="4" t="s">
        <v>263</v>
      </c>
      <c r="F106" s="5">
        <v>0.8</v>
      </c>
      <c r="G106" s="10">
        <v>1.0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  <c r="U106" s="8">
        <f t="shared" si="1"/>
        <v>0.8</v>
      </c>
      <c r="V106" s="8">
        <f t="shared" si="2"/>
        <v>80</v>
      </c>
      <c r="W106" s="8" t="str">
        <f t="shared" si="3"/>
        <v/>
      </c>
      <c r="X106" s="8" t="str">
        <f t="shared" si="4"/>
        <v>#N/A</v>
      </c>
    </row>
    <row r="107">
      <c r="A107" s="4">
        <f t="shared" si="5"/>
        <v>106</v>
      </c>
      <c r="B107" s="4" t="s">
        <v>281</v>
      </c>
      <c r="C107" s="4" t="s">
        <v>287</v>
      </c>
      <c r="D107" s="4" t="s">
        <v>8</v>
      </c>
      <c r="E107" s="4" t="s">
        <v>255</v>
      </c>
      <c r="F107" s="5">
        <v>1.2</v>
      </c>
      <c r="G107" s="10">
        <v>1.0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U107" s="8">
        <f t="shared" si="1"/>
        <v>1.2</v>
      </c>
      <c r="V107" s="8">
        <f t="shared" si="2"/>
        <v>67</v>
      </c>
      <c r="W107" s="8" t="str">
        <f t="shared" si="3"/>
        <v/>
      </c>
      <c r="X107" s="8" t="str">
        <f t="shared" si="4"/>
        <v>#N/A</v>
      </c>
    </row>
    <row r="108">
      <c r="A108" s="4">
        <f t="shared" si="5"/>
        <v>107</v>
      </c>
      <c r="B108" s="4" t="s">
        <v>294</v>
      </c>
      <c r="C108" s="4" t="s">
        <v>288</v>
      </c>
      <c r="D108" s="4" t="s">
        <v>8</v>
      </c>
      <c r="E108" s="4" t="s">
        <v>120</v>
      </c>
      <c r="F108" s="5">
        <v>1.8</v>
      </c>
      <c r="G108" s="10">
        <v>1.0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U108" s="8">
        <f t="shared" si="1"/>
        <v>1.8</v>
      </c>
      <c r="V108" s="8">
        <f t="shared" si="2"/>
        <v>53</v>
      </c>
      <c r="W108" s="8" t="str">
        <f t="shared" si="3"/>
        <v/>
      </c>
      <c r="X108" s="8" t="str">
        <f t="shared" si="4"/>
        <v>#N/A</v>
      </c>
    </row>
    <row r="109">
      <c r="A109" s="4">
        <f t="shared" si="5"/>
        <v>108</v>
      </c>
      <c r="B109" s="4" t="s">
        <v>286</v>
      </c>
      <c r="C109" s="4" t="s">
        <v>285</v>
      </c>
      <c r="D109" s="4" t="s">
        <v>8</v>
      </c>
      <c r="E109" s="4" t="s">
        <v>226</v>
      </c>
      <c r="F109" s="5">
        <v>1.6</v>
      </c>
      <c r="G109" s="10">
        <v>1.0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r="U109" s="8">
        <f t="shared" si="1"/>
        <v>1.6</v>
      </c>
      <c r="V109" s="8">
        <f t="shared" si="2"/>
        <v>58</v>
      </c>
      <c r="W109" s="8" t="str">
        <f t="shared" si="3"/>
        <v/>
      </c>
      <c r="X109" s="8" t="str">
        <f t="shared" si="4"/>
        <v>#N/A</v>
      </c>
    </row>
    <row r="110">
      <c r="A110" s="4">
        <f t="shared" si="5"/>
        <v>109</v>
      </c>
      <c r="B110" s="4" t="s">
        <v>284</v>
      </c>
      <c r="C110" s="4" t="s">
        <v>284</v>
      </c>
      <c r="D110" s="4" t="s">
        <v>8</v>
      </c>
      <c r="E110" s="4" t="s">
        <v>234</v>
      </c>
      <c r="F110" s="5">
        <v>2.0</v>
      </c>
      <c r="G110" s="10">
        <v>1.0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U110" s="8">
        <f t="shared" si="1"/>
        <v>2</v>
      </c>
      <c r="V110" s="8">
        <f t="shared" si="2"/>
        <v>44</v>
      </c>
      <c r="W110" s="8" t="str">
        <f t="shared" si="3"/>
        <v/>
      </c>
      <c r="X110" s="8" t="str">
        <f t="shared" si="4"/>
        <v>#N/A</v>
      </c>
    </row>
    <row r="111">
      <c r="A111" s="4">
        <f t="shared" si="5"/>
        <v>110</v>
      </c>
      <c r="B111" s="4" t="s">
        <v>274</v>
      </c>
      <c r="C111" s="4" t="s">
        <v>294</v>
      </c>
      <c r="D111" s="4" t="s">
        <v>8</v>
      </c>
      <c r="E111" s="4" t="s">
        <v>341</v>
      </c>
      <c r="F111" s="5">
        <v>2.0</v>
      </c>
      <c r="G111" s="10">
        <v>1.0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U111" s="8">
        <f t="shared" si="1"/>
        <v>2</v>
      </c>
      <c r="V111" s="8">
        <f t="shared" si="2"/>
        <v>44</v>
      </c>
      <c r="W111" s="8" t="str">
        <f t="shared" si="3"/>
        <v/>
      </c>
      <c r="X111" s="8" t="str">
        <f t="shared" si="4"/>
        <v>#N/A</v>
      </c>
    </row>
    <row r="112">
      <c r="A112" s="4">
        <f t="shared" si="5"/>
        <v>111</v>
      </c>
      <c r="B112" s="4" t="s">
        <v>273</v>
      </c>
      <c r="C112" s="4" t="s">
        <v>285</v>
      </c>
      <c r="D112" s="4" t="s">
        <v>8</v>
      </c>
      <c r="E112" s="4" t="s">
        <v>233</v>
      </c>
      <c r="F112" s="5">
        <v>1.9</v>
      </c>
      <c r="G112" s="10">
        <v>1.0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U112" s="8">
        <f t="shared" si="1"/>
        <v>1.9</v>
      </c>
      <c r="V112" s="8">
        <f t="shared" si="2"/>
        <v>48</v>
      </c>
      <c r="W112" s="8" t="str">
        <f t="shared" si="3"/>
        <v/>
      </c>
      <c r="X112" s="8" t="str">
        <f t="shared" si="4"/>
        <v>#N/A</v>
      </c>
    </row>
    <row r="113">
      <c r="A113" s="4">
        <f t="shared" si="5"/>
        <v>112</v>
      </c>
      <c r="B113" s="4" t="s">
        <v>287</v>
      </c>
      <c r="C113" s="4" t="s">
        <v>284</v>
      </c>
      <c r="D113" s="4" t="s">
        <v>8</v>
      </c>
      <c r="E113" s="4" t="s">
        <v>94</v>
      </c>
      <c r="F113" s="5">
        <v>2.3</v>
      </c>
      <c r="G113" s="10">
        <v>1.0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U113" s="8">
        <f t="shared" si="1"/>
        <v>2.3</v>
      </c>
      <c r="V113" s="8">
        <f t="shared" si="2"/>
        <v>36</v>
      </c>
      <c r="W113" s="8" t="str">
        <f t="shared" si="3"/>
        <v/>
      </c>
      <c r="X113" s="8" t="str">
        <f t="shared" si="4"/>
        <v>#N/A</v>
      </c>
    </row>
    <row r="114">
      <c r="A114" s="4">
        <f t="shared" si="5"/>
        <v>113</v>
      </c>
      <c r="B114" s="4" t="s">
        <v>280</v>
      </c>
      <c r="C114" s="4" t="s">
        <v>281</v>
      </c>
      <c r="D114" s="4" t="s">
        <v>8</v>
      </c>
      <c r="E114" s="4" t="s">
        <v>397</v>
      </c>
      <c r="F114" s="5">
        <v>0.8</v>
      </c>
      <c r="G114" s="10">
        <v>1.0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U114" s="8">
        <f t="shared" si="1"/>
        <v>0.8</v>
      </c>
      <c r="V114" s="8">
        <f t="shared" si="2"/>
        <v>80</v>
      </c>
      <c r="W114" s="8" t="str">
        <f t="shared" si="3"/>
        <v/>
      </c>
      <c r="X114" s="8" t="str">
        <f t="shared" si="4"/>
        <v>#N/A</v>
      </c>
    </row>
    <row r="115">
      <c r="A115" s="4">
        <f t="shared" si="5"/>
        <v>114</v>
      </c>
      <c r="B115" s="4" t="s">
        <v>285</v>
      </c>
      <c r="C115" s="4" t="s">
        <v>287</v>
      </c>
      <c r="D115" s="4" t="s">
        <v>8</v>
      </c>
      <c r="E115" s="4" t="s">
        <v>338</v>
      </c>
      <c r="F115" s="5">
        <v>1.4</v>
      </c>
      <c r="G115" s="10">
        <v>1.0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U115" s="8">
        <f t="shared" si="1"/>
        <v>1.4</v>
      </c>
      <c r="V115" s="8">
        <f t="shared" si="2"/>
        <v>62</v>
      </c>
      <c r="W115" s="8" t="str">
        <f t="shared" si="3"/>
        <v/>
      </c>
      <c r="X115" s="8" t="str">
        <f t="shared" si="4"/>
        <v>#N/A</v>
      </c>
    </row>
    <row r="116">
      <c r="A116" s="4">
        <f t="shared" si="5"/>
        <v>115</v>
      </c>
      <c r="B116" s="4" t="s">
        <v>293</v>
      </c>
      <c r="C116" s="4" t="s">
        <v>274</v>
      </c>
      <c r="D116" s="4" t="s">
        <v>8</v>
      </c>
      <c r="E116" s="4" t="s">
        <v>166</v>
      </c>
      <c r="F116" s="5">
        <v>0.7</v>
      </c>
      <c r="G116" s="10">
        <v>1.0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U116" s="8">
        <f t="shared" si="1"/>
        <v>0.7</v>
      </c>
      <c r="V116" s="8">
        <f t="shared" si="2"/>
        <v>91</v>
      </c>
      <c r="W116" s="8" t="str">
        <f t="shared" si="3"/>
        <v/>
      </c>
      <c r="X116" s="8" t="str">
        <f t="shared" si="4"/>
        <v>#N/A</v>
      </c>
    </row>
    <row r="117">
      <c r="A117" s="4">
        <f t="shared" si="5"/>
        <v>116</v>
      </c>
      <c r="B117" s="4" t="s">
        <v>288</v>
      </c>
      <c r="C117" s="4" t="s">
        <v>288</v>
      </c>
      <c r="D117" s="4" t="s">
        <v>8</v>
      </c>
      <c r="E117" s="4" t="s">
        <v>228</v>
      </c>
      <c r="F117" s="5">
        <v>1.3</v>
      </c>
      <c r="G117" s="10">
        <v>1.0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U117" s="8">
        <f t="shared" si="1"/>
        <v>1.3</v>
      </c>
      <c r="V117" s="8">
        <f t="shared" si="2"/>
        <v>64</v>
      </c>
      <c r="W117" s="8" t="str">
        <f t="shared" si="3"/>
        <v/>
      </c>
      <c r="X117" s="8" t="str">
        <f t="shared" si="4"/>
        <v>#N/A</v>
      </c>
    </row>
    <row r="118">
      <c r="A118" s="4">
        <f t="shared" si="5"/>
        <v>117</v>
      </c>
      <c r="B118" s="4" t="s">
        <v>281</v>
      </c>
      <c r="C118" s="4" t="s">
        <v>281</v>
      </c>
      <c r="D118" s="4" t="s">
        <v>8</v>
      </c>
      <c r="E118" s="4" t="s">
        <v>398</v>
      </c>
      <c r="F118" s="5">
        <v>0.8</v>
      </c>
      <c r="G118" s="10">
        <v>1.0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U118" s="8">
        <f t="shared" si="1"/>
        <v>0.8</v>
      </c>
      <c r="V118" s="8">
        <f t="shared" si="2"/>
        <v>80</v>
      </c>
      <c r="W118" s="8" t="str">
        <f t="shared" si="3"/>
        <v/>
      </c>
      <c r="X118" s="8" t="str">
        <f t="shared" si="4"/>
        <v>#N/A</v>
      </c>
    </row>
    <row r="119">
      <c r="A119" s="4">
        <f t="shared" si="5"/>
        <v>118</v>
      </c>
      <c r="B119" s="4" t="s">
        <v>294</v>
      </c>
      <c r="C119" s="4" t="s">
        <v>294</v>
      </c>
      <c r="D119" s="4" t="s">
        <v>8</v>
      </c>
      <c r="E119" s="4" t="s">
        <v>147</v>
      </c>
      <c r="F119" s="5">
        <v>1.1</v>
      </c>
      <c r="G119" s="10">
        <v>1.0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U119" s="8">
        <f t="shared" si="1"/>
        <v>1.1</v>
      </c>
      <c r="V119" s="8">
        <f t="shared" si="2"/>
        <v>71</v>
      </c>
      <c r="W119" s="8" t="str">
        <f t="shared" si="3"/>
        <v/>
      </c>
      <c r="X119" s="8" t="str">
        <f t="shared" si="4"/>
        <v>#N/A</v>
      </c>
    </row>
    <row r="120">
      <c r="A120" s="4">
        <f t="shared" si="5"/>
        <v>119</v>
      </c>
      <c r="B120" s="4" t="s">
        <v>286</v>
      </c>
      <c r="C120" s="4" t="s">
        <v>284</v>
      </c>
      <c r="D120" s="4" t="s">
        <v>8</v>
      </c>
      <c r="E120" s="4" t="s">
        <v>245</v>
      </c>
      <c r="F120" s="5">
        <v>0.9</v>
      </c>
      <c r="G120" s="10">
        <v>1.0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U120" s="8">
        <f t="shared" si="1"/>
        <v>0.9</v>
      </c>
      <c r="V120" s="8">
        <f t="shared" si="2"/>
        <v>76</v>
      </c>
      <c r="W120" s="8" t="str">
        <f t="shared" si="3"/>
        <v/>
      </c>
      <c r="X120" s="8" t="str">
        <f t="shared" si="4"/>
        <v>#N/A</v>
      </c>
    </row>
    <row r="121">
      <c r="A121" s="4">
        <f t="shared" si="5"/>
        <v>120</v>
      </c>
      <c r="B121" s="4" t="s">
        <v>273</v>
      </c>
      <c r="C121" s="4" t="s">
        <v>287</v>
      </c>
      <c r="D121" s="4" t="s">
        <v>8</v>
      </c>
      <c r="E121" s="4" t="s">
        <v>227</v>
      </c>
      <c r="F121" s="5">
        <v>0.6</v>
      </c>
      <c r="G121" s="10">
        <v>1.0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U121" s="8">
        <f t="shared" si="1"/>
        <v>0.6</v>
      </c>
      <c r="V121" s="8">
        <f t="shared" si="2"/>
        <v>95</v>
      </c>
      <c r="W121" s="8" t="str">
        <f t="shared" si="3"/>
        <v/>
      </c>
      <c r="X121" s="8" t="str">
        <f t="shared" si="4"/>
        <v>#N/A</v>
      </c>
    </row>
    <row r="122">
      <c r="A122" s="4">
        <f t="shared" si="5"/>
        <v>121</v>
      </c>
      <c r="B122" s="4" t="s">
        <v>287</v>
      </c>
      <c r="C122" s="4" t="s">
        <v>286</v>
      </c>
      <c r="D122" s="4" t="s">
        <v>8</v>
      </c>
      <c r="E122" s="4" t="s">
        <v>399</v>
      </c>
      <c r="F122" s="5">
        <v>0.8</v>
      </c>
      <c r="G122" s="10">
        <v>1.0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U122" s="8">
        <f t="shared" si="1"/>
        <v>0.8</v>
      </c>
      <c r="V122" s="8">
        <f t="shared" si="2"/>
        <v>80</v>
      </c>
      <c r="W122" s="8" t="str">
        <f t="shared" si="3"/>
        <v/>
      </c>
      <c r="X122" s="8" t="str">
        <f t="shared" si="4"/>
        <v>#N/A</v>
      </c>
    </row>
    <row r="123">
      <c r="A123" s="4">
        <f t="shared" si="5"/>
        <v>122</v>
      </c>
      <c r="B123" s="4" t="s">
        <v>280</v>
      </c>
      <c r="C123" s="4" t="s">
        <v>286</v>
      </c>
      <c r="D123" s="4" t="s">
        <v>8</v>
      </c>
      <c r="E123" s="4" t="s">
        <v>400</v>
      </c>
      <c r="F123" s="5">
        <v>0.6</v>
      </c>
      <c r="G123" s="10">
        <v>1.0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U123" s="8">
        <f t="shared" si="1"/>
        <v>0.6</v>
      </c>
      <c r="V123" s="8">
        <f t="shared" si="2"/>
        <v>95</v>
      </c>
      <c r="W123" s="8" t="str">
        <f t="shared" si="3"/>
        <v/>
      </c>
      <c r="X123" s="8" t="str">
        <f t="shared" si="4"/>
        <v>#N/A</v>
      </c>
    </row>
    <row r="124">
      <c r="A124" s="4">
        <f t="shared" si="5"/>
        <v>123</v>
      </c>
      <c r="B124" s="4" t="s">
        <v>285</v>
      </c>
      <c r="C124" s="4" t="s">
        <v>287</v>
      </c>
      <c r="D124" s="4" t="s">
        <v>8</v>
      </c>
      <c r="E124" s="4" t="s">
        <v>401</v>
      </c>
      <c r="F124" s="5">
        <v>1.5</v>
      </c>
      <c r="G124" s="10">
        <v>1.0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U124" s="8">
        <f t="shared" si="1"/>
        <v>1.5</v>
      </c>
      <c r="V124" s="8">
        <f t="shared" si="2"/>
        <v>60</v>
      </c>
      <c r="W124" s="8" t="str">
        <f t="shared" si="3"/>
        <v/>
      </c>
      <c r="X124" s="8" t="str">
        <f t="shared" si="4"/>
        <v>#N/A</v>
      </c>
    </row>
    <row r="125">
      <c r="A125" s="4">
        <f t="shared" si="5"/>
        <v>124</v>
      </c>
      <c r="B125" s="4" t="s">
        <v>293</v>
      </c>
      <c r="C125" s="4" t="s">
        <v>294</v>
      </c>
      <c r="D125" s="4" t="s">
        <v>8</v>
      </c>
      <c r="E125" s="4" t="s">
        <v>402</v>
      </c>
      <c r="F125" s="5">
        <v>0.6</v>
      </c>
      <c r="G125" s="10">
        <v>1.0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U125" s="8">
        <f t="shared" si="1"/>
        <v>0.6</v>
      </c>
      <c r="V125" s="8">
        <f t="shared" si="2"/>
        <v>95</v>
      </c>
      <c r="W125" s="8" t="str">
        <f t="shared" si="3"/>
        <v/>
      </c>
      <c r="X125" s="8" t="str">
        <f t="shared" si="4"/>
        <v>#N/A</v>
      </c>
    </row>
    <row r="126">
      <c r="A126" s="4">
        <f t="shared" si="5"/>
        <v>125</v>
      </c>
      <c r="B126" s="4" t="s">
        <v>288</v>
      </c>
      <c r="C126" s="4" t="s">
        <v>287</v>
      </c>
      <c r="D126" s="4" t="s">
        <v>8</v>
      </c>
      <c r="E126" s="4" t="s">
        <v>403</v>
      </c>
      <c r="F126" s="5">
        <v>0.6</v>
      </c>
      <c r="G126" s="10">
        <v>1.0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U126" s="8">
        <f t="shared" si="1"/>
        <v>0.6</v>
      </c>
      <c r="V126" s="8">
        <f t="shared" si="2"/>
        <v>95</v>
      </c>
      <c r="W126" s="8" t="str">
        <f t="shared" si="3"/>
        <v/>
      </c>
      <c r="X126" s="8" t="str">
        <f t="shared" si="4"/>
        <v>#N/A</v>
      </c>
    </row>
    <row r="127">
      <c r="A127" s="4">
        <f t="shared" si="5"/>
        <v>126</v>
      </c>
      <c r="B127" s="4" t="s">
        <v>281</v>
      </c>
      <c r="C127" s="4" t="s">
        <v>286</v>
      </c>
      <c r="D127" s="4" t="s">
        <v>8</v>
      </c>
      <c r="E127" s="4" t="s">
        <v>136</v>
      </c>
      <c r="F127" s="5">
        <v>0.7</v>
      </c>
      <c r="G127" s="10">
        <v>1.0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U127" s="8">
        <f t="shared" si="1"/>
        <v>0.7</v>
      </c>
      <c r="V127" s="8">
        <f t="shared" si="2"/>
        <v>91</v>
      </c>
      <c r="W127" s="8" t="str">
        <f t="shared" si="3"/>
        <v/>
      </c>
      <c r="X127" s="8" t="str">
        <f t="shared" si="4"/>
        <v>#N/A</v>
      </c>
    </row>
    <row r="128">
      <c r="A128" s="4">
        <f t="shared" si="5"/>
        <v>127</v>
      </c>
      <c r="B128" s="4" t="s">
        <v>294</v>
      </c>
      <c r="C128" s="4" t="s">
        <v>273</v>
      </c>
      <c r="D128" s="4" t="s">
        <v>8</v>
      </c>
      <c r="E128" s="4" t="s">
        <v>111</v>
      </c>
      <c r="F128" s="5">
        <v>1.1</v>
      </c>
      <c r="G128" s="10">
        <v>1.0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U128" s="8">
        <f t="shared" si="1"/>
        <v>1.1</v>
      </c>
      <c r="V128" s="8">
        <f t="shared" si="2"/>
        <v>71</v>
      </c>
      <c r="W128" s="8" t="str">
        <f t="shared" si="3"/>
        <v/>
      </c>
      <c r="X128" s="8" t="str">
        <f t="shared" si="4"/>
        <v>#N/A</v>
      </c>
    </row>
    <row r="129">
      <c r="A129" s="4">
        <f t="shared" si="5"/>
        <v>128</v>
      </c>
      <c r="B129" s="4" t="s">
        <v>286</v>
      </c>
      <c r="C129" s="4" t="s">
        <v>281</v>
      </c>
      <c r="D129" s="4" t="s">
        <v>8</v>
      </c>
      <c r="E129" s="4" t="s">
        <v>404</v>
      </c>
      <c r="F129" s="5">
        <v>0.6</v>
      </c>
      <c r="G129" s="10">
        <v>1.0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U129" s="8">
        <f t="shared" si="1"/>
        <v>0.6</v>
      </c>
      <c r="V129" s="8">
        <f t="shared" si="2"/>
        <v>95</v>
      </c>
      <c r="W129" s="8" t="str">
        <f t="shared" si="3"/>
        <v/>
      </c>
      <c r="X129" s="8" t="str">
        <f t="shared" si="4"/>
        <v>#N/A</v>
      </c>
    </row>
    <row r="130">
      <c r="A130" s="4">
        <f t="shared" si="5"/>
        <v>129</v>
      </c>
      <c r="B130" s="4" t="s">
        <v>273</v>
      </c>
      <c r="C130" s="4" t="s">
        <v>273</v>
      </c>
      <c r="D130" s="4" t="s">
        <v>8</v>
      </c>
      <c r="E130" s="4" t="s">
        <v>405</v>
      </c>
      <c r="F130" s="5">
        <v>0.5</v>
      </c>
      <c r="G130" s="10">
        <v>1.0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U130" s="8">
        <f t="shared" si="1"/>
        <v>0.5</v>
      </c>
      <c r="V130" s="8">
        <f t="shared" si="2"/>
        <v>101</v>
      </c>
      <c r="W130" s="8" t="str">
        <f t="shared" si="3"/>
        <v/>
      </c>
      <c r="X130" s="8" t="str">
        <f t="shared" si="4"/>
        <v>#N/A</v>
      </c>
    </row>
    <row r="131">
      <c r="A131" s="4">
        <f t="shared" si="5"/>
        <v>130</v>
      </c>
      <c r="B131" s="4" t="s">
        <v>287</v>
      </c>
      <c r="C131" s="4" t="s">
        <v>287</v>
      </c>
      <c r="D131" s="4" t="s">
        <v>8</v>
      </c>
      <c r="E131" s="4" t="s">
        <v>406</v>
      </c>
      <c r="F131" s="5">
        <v>0.5</v>
      </c>
      <c r="G131" s="10">
        <v>2.0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U131" s="8">
        <f t="shared" si="1"/>
        <v>0.5</v>
      </c>
      <c r="V131" s="8">
        <f t="shared" si="2"/>
        <v>101</v>
      </c>
      <c r="W131" s="8" t="str">
        <f t="shared" si="3"/>
        <v/>
      </c>
      <c r="X131" s="8" t="str">
        <f t="shared" si="4"/>
        <v>#N/A</v>
      </c>
    </row>
    <row r="132">
      <c r="A132" s="4">
        <f t="shared" si="5"/>
        <v>131</v>
      </c>
      <c r="B132" s="4" t="s">
        <v>280</v>
      </c>
      <c r="C132" s="4" t="s">
        <v>280</v>
      </c>
      <c r="D132" s="4" t="s">
        <v>8</v>
      </c>
      <c r="E132" s="4" t="s">
        <v>223</v>
      </c>
      <c r="F132" s="5">
        <v>0.8</v>
      </c>
      <c r="G132" s="10">
        <v>1.0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U132" s="8">
        <f t="shared" si="1"/>
        <v>0.8</v>
      </c>
      <c r="V132" s="8">
        <f t="shared" si="2"/>
        <v>80</v>
      </c>
      <c r="W132" s="8" t="str">
        <f t="shared" si="3"/>
        <v/>
      </c>
      <c r="X132" s="8" t="str">
        <f t="shared" si="4"/>
        <v>#N/A</v>
      </c>
    </row>
    <row r="133">
      <c r="A133" s="4">
        <f t="shared" si="5"/>
        <v>132</v>
      </c>
      <c r="B133" s="4" t="s">
        <v>285</v>
      </c>
      <c r="C133" s="4" t="s">
        <v>280</v>
      </c>
      <c r="D133" s="4" t="s">
        <v>8</v>
      </c>
      <c r="E133" s="4" t="s">
        <v>119</v>
      </c>
      <c r="F133" s="5">
        <v>0.8</v>
      </c>
      <c r="G133" s="10">
        <v>1.0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U133" s="8">
        <f t="shared" si="1"/>
        <v>0.8</v>
      </c>
      <c r="V133" s="8">
        <f t="shared" si="2"/>
        <v>80</v>
      </c>
      <c r="W133" s="8" t="str">
        <f t="shared" si="3"/>
        <v/>
      </c>
      <c r="X133" s="8" t="str">
        <f t="shared" si="4"/>
        <v>#N/A</v>
      </c>
    </row>
    <row r="134">
      <c r="A134" s="4">
        <f t="shared" si="5"/>
        <v>133</v>
      </c>
      <c r="B134" s="4" t="s">
        <v>293</v>
      </c>
      <c r="C134" s="4" t="s">
        <v>281</v>
      </c>
      <c r="D134" s="4" t="s">
        <v>8</v>
      </c>
      <c r="E134" s="4" t="s">
        <v>172</v>
      </c>
      <c r="F134" s="5">
        <v>0.8</v>
      </c>
      <c r="G134" s="10">
        <v>1.0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U134" s="8">
        <f t="shared" si="1"/>
        <v>0.8</v>
      </c>
      <c r="V134" s="8">
        <f t="shared" si="2"/>
        <v>80</v>
      </c>
      <c r="W134" s="8" t="str">
        <f t="shared" si="3"/>
        <v/>
      </c>
      <c r="X134" s="8" t="str">
        <f t="shared" si="4"/>
        <v>#N/A</v>
      </c>
    </row>
    <row r="135">
      <c r="A135" s="4">
        <f t="shared" si="5"/>
        <v>134</v>
      </c>
      <c r="B135" s="4" t="s">
        <v>288</v>
      </c>
      <c r="C135" s="4" t="s">
        <v>288</v>
      </c>
      <c r="D135" s="4" t="s">
        <v>8</v>
      </c>
      <c r="E135" s="4" t="s">
        <v>407</v>
      </c>
      <c r="F135" s="5">
        <v>0.5</v>
      </c>
      <c r="G135" s="10">
        <v>1.0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U135" s="8">
        <f t="shared" si="1"/>
        <v>0.5</v>
      </c>
      <c r="V135" s="8">
        <f t="shared" si="2"/>
        <v>101</v>
      </c>
      <c r="W135" s="8" t="str">
        <f t="shared" si="3"/>
        <v/>
      </c>
      <c r="X135" s="8" t="str">
        <f t="shared" si="4"/>
        <v>#N/A</v>
      </c>
    </row>
    <row r="136">
      <c r="A136" s="4">
        <f t="shared" si="5"/>
        <v>135</v>
      </c>
      <c r="B136" s="4" t="s">
        <v>281</v>
      </c>
      <c r="C136" s="4" t="s">
        <v>281</v>
      </c>
      <c r="D136" s="4" t="s">
        <v>8</v>
      </c>
      <c r="E136" s="4" t="s">
        <v>408</v>
      </c>
      <c r="F136" s="5">
        <v>0.5</v>
      </c>
      <c r="G136" s="10">
        <v>1.0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U136" s="8">
        <f t="shared" si="1"/>
        <v>0.5</v>
      </c>
      <c r="V136" s="8">
        <f t="shared" si="2"/>
        <v>101</v>
      </c>
      <c r="W136" s="8" t="str">
        <f t="shared" si="3"/>
        <v/>
      </c>
      <c r="X136" s="8" t="str">
        <f t="shared" si="4"/>
        <v>#N/A</v>
      </c>
    </row>
    <row r="137">
      <c r="A137" s="4">
        <f t="shared" si="5"/>
        <v>136</v>
      </c>
      <c r="B137" s="4" t="s">
        <v>294</v>
      </c>
      <c r="C137" s="4" t="s">
        <v>294</v>
      </c>
      <c r="D137" s="4" t="s">
        <v>8</v>
      </c>
      <c r="E137" s="4" t="s">
        <v>318</v>
      </c>
      <c r="F137" s="5">
        <v>0.5</v>
      </c>
      <c r="G137" s="10">
        <v>1.0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U137" s="8">
        <f t="shared" si="1"/>
        <v>0.5</v>
      </c>
      <c r="V137" s="8">
        <f t="shared" si="2"/>
        <v>101</v>
      </c>
      <c r="W137" s="8" t="str">
        <f t="shared" si="3"/>
        <v/>
      </c>
      <c r="X137" s="8" t="str">
        <f t="shared" si="4"/>
        <v>#N/A</v>
      </c>
    </row>
    <row r="138">
      <c r="A138" s="4">
        <f t="shared" si="5"/>
        <v>137</v>
      </c>
      <c r="B138" s="4" t="s">
        <v>286</v>
      </c>
      <c r="C138" s="4" t="s">
        <v>286</v>
      </c>
      <c r="D138" s="4" t="s">
        <v>8</v>
      </c>
      <c r="E138" s="4" t="s">
        <v>104</v>
      </c>
      <c r="F138" s="5">
        <v>0.5</v>
      </c>
      <c r="G138" s="10">
        <v>1.0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U138" s="8">
        <f t="shared" si="1"/>
        <v>0.5</v>
      </c>
      <c r="V138" s="8">
        <f t="shared" si="2"/>
        <v>101</v>
      </c>
      <c r="W138" s="8" t="str">
        <f t="shared" si="3"/>
        <v/>
      </c>
      <c r="X138" s="8" t="str">
        <f t="shared" si="4"/>
        <v>#N/A</v>
      </c>
    </row>
    <row r="139">
      <c r="A139" s="4">
        <f t="shared" si="5"/>
        <v>138</v>
      </c>
      <c r="B139" s="4" t="s">
        <v>273</v>
      </c>
      <c r="C139" s="4" t="s">
        <v>280</v>
      </c>
      <c r="D139" s="4" t="s">
        <v>8</v>
      </c>
      <c r="E139" s="4" t="s">
        <v>330</v>
      </c>
      <c r="F139" s="5">
        <v>0.8</v>
      </c>
      <c r="G139" s="10">
        <v>1.0</v>
      </c>
      <c r="H139" s="7"/>
      <c r="I139" s="7"/>
      <c r="J139" s="7"/>
      <c r="K139" s="7"/>
      <c r="L139" s="7"/>
      <c r="M139" s="7"/>
      <c r="N139" s="7"/>
      <c r="O139" s="7"/>
      <c r="P139" s="7"/>
      <c r="Q139" s="7"/>
      <c r="U139" s="8">
        <f t="shared" si="1"/>
        <v>0.8</v>
      </c>
      <c r="V139" s="8">
        <f t="shared" si="2"/>
        <v>80</v>
      </c>
      <c r="W139" s="8" t="str">
        <f t="shared" si="3"/>
        <v/>
      </c>
      <c r="X139" s="8" t="str">
        <f t="shared" si="4"/>
        <v>#N/A</v>
      </c>
    </row>
    <row r="140">
      <c r="A140" s="4">
        <f t="shared" si="5"/>
        <v>139</v>
      </c>
      <c r="B140" s="4" t="s">
        <v>287</v>
      </c>
      <c r="C140" s="4" t="s">
        <v>287</v>
      </c>
      <c r="D140" s="4" t="s">
        <v>8</v>
      </c>
      <c r="E140" s="4" t="s">
        <v>236</v>
      </c>
      <c r="F140" s="5">
        <v>0.5</v>
      </c>
      <c r="G140" s="10">
        <v>2.0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U140" s="8">
        <f t="shared" si="1"/>
        <v>0.5</v>
      </c>
      <c r="V140" s="8">
        <f t="shared" si="2"/>
        <v>101</v>
      </c>
      <c r="W140" s="8" t="str">
        <f t="shared" si="3"/>
        <v/>
      </c>
      <c r="X140" s="8" t="str">
        <f t="shared" si="4"/>
        <v>#N/A</v>
      </c>
    </row>
    <row r="141">
      <c r="A141" s="4">
        <f t="shared" si="5"/>
        <v>140</v>
      </c>
      <c r="B141" s="4" t="s">
        <v>280</v>
      </c>
      <c r="C141" s="4" t="s">
        <v>280</v>
      </c>
      <c r="D141" s="4" t="s">
        <v>8</v>
      </c>
      <c r="E141" s="4" t="s">
        <v>409</v>
      </c>
      <c r="F141" s="5">
        <v>0.5</v>
      </c>
      <c r="G141" s="10">
        <v>1.0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  <c r="U141" s="8">
        <f t="shared" si="1"/>
        <v>0.5</v>
      </c>
      <c r="V141" s="8">
        <f t="shared" si="2"/>
        <v>101</v>
      </c>
      <c r="W141" s="8" t="str">
        <f t="shared" si="3"/>
        <v/>
      </c>
      <c r="X141" s="8" t="str">
        <f t="shared" si="4"/>
        <v>#N/A</v>
      </c>
    </row>
    <row r="142">
      <c r="A142" s="4">
        <f t="shared" si="5"/>
        <v>141</v>
      </c>
      <c r="B142" s="4" t="s">
        <v>285</v>
      </c>
      <c r="C142" s="4" t="s">
        <v>281</v>
      </c>
      <c r="D142" s="4" t="s">
        <v>8</v>
      </c>
      <c r="E142" s="4" t="s">
        <v>159</v>
      </c>
      <c r="F142" s="5">
        <v>0.8</v>
      </c>
      <c r="G142" s="10">
        <v>1.0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U142" s="8">
        <f t="shared" si="1"/>
        <v>0.8</v>
      </c>
      <c r="V142" s="8">
        <f t="shared" si="2"/>
        <v>80</v>
      </c>
      <c r="W142" s="8" t="str">
        <f t="shared" si="3"/>
        <v/>
      </c>
      <c r="X142" s="8" t="str">
        <f t="shared" si="4"/>
        <v>#N/A</v>
      </c>
    </row>
    <row r="143">
      <c r="A143" s="4">
        <f t="shared" si="5"/>
        <v>142</v>
      </c>
      <c r="B143" s="4" t="s">
        <v>293</v>
      </c>
      <c r="C143" s="4" t="s">
        <v>293</v>
      </c>
      <c r="D143" s="4" t="s">
        <v>8</v>
      </c>
      <c r="E143" s="4" t="s">
        <v>410</v>
      </c>
      <c r="F143" s="5">
        <v>0.5</v>
      </c>
      <c r="G143" s="10">
        <v>1.0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U143" s="8">
        <f t="shared" si="1"/>
        <v>0.5</v>
      </c>
      <c r="V143" s="8">
        <f t="shared" si="2"/>
        <v>101</v>
      </c>
      <c r="W143" s="8" t="str">
        <f t="shared" si="3"/>
        <v/>
      </c>
      <c r="X143" s="8" t="str">
        <f t="shared" si="4"/>
        <v>#N/A</v>
      </c>
    </row>
    <row r="144">
      <c r="A144" s="4">
        <f t="shared" si="5"/>
        <v>143</v>
      </c>
      <c r="B144" s="4" t="s">
        <v>281</v>
      </c>
      <c r="C144" s="4" t="s">
        <v>281</v>
      </c>
      <c r="D144" s="4" t="s">
        <v>8</v>
      </c>
      <c r="E144" s="4" t="s">
        <v>411</v>
      </c>
      <c r="F144" s="5">
        <v>0.5</v>
      </c>
      <c r="G144" s="10">
        <v>1.0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U144" s="8">
        <f t="shared" si="1"/>
        <v>0.5</v>
      </c>
      <c r="V144" s="8">
        <f t="shared" si="2"/>
        <v>101</v>
      </c>
      <c r="W144" s="8" t="str">
        <f t="shared" si="3"/>
        <v/>
      </c>
      <c r="X144" s="8" t="str">
        <f t="shared" si="4"/>
        <v>#N/A</v>
      </c>
    </row>
    <row r="145">
      <c r="A145" s="4">
        <f t="shared" si="5"/>
        <v>144</v>
      </c>
      <c r="B145" s="4" t="s">
        <v>294</v>
      </c>
      <c r="C145" s="4" t="s">
        <v>281</v>
      </c>
      <c r="D145" s="4" t="s">
        <v>8</v>
      </c>
      <c r="E145" s="4" t="s">
        <v>412</v>
      </c>
      <c r="F145" s="5">
        <v>0.6</v>
      </c>
      <c r="G145" s="10">
        <v>1.0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U145" s="8">
        <f t="shared" si="1"/>
        <v>0.6</v>
      </c>
      <c r="V145" s="8">
        <f t="shared" si="2"/>
        <v>95</v>
      </c>
      <c r="W145" s="8" t="str">
        <f t="shared" si="3"/>
        <v/>
      </c>
      <c r="X145" s="8" t="str">
        <f t="shared" si="4"/>
        <v>#N/A</v>
      </c>
    </row>
    <row r="146">
      <c r="A146" s="4">
        <f t="shared" si="5"/>
        <v>145</v>
      </c>
      <c r="B146" s="4" t="s">
        <v>286</v>
      </c>
      <c r="C146" s="4" t="s">
        <v>286</v>
      </c>
      <c r="D146" s="4" t="s">
        <v>8</v>
      </c>
      <c r="E146" s="4" t="s">
        <v>346</v>
      </c>
      <c r="F146" s="5">
        <v>0.5</v>
      </c>
      <c r="G146" s="10">
        <v>1.0</v>
      </c>
      <c r="H146" s="7"/>
      <c r="I146" s="7"/>
      <c r="J146" s="7"/>
      <c r="K146" s="7"/>
      <c r="L146" s="7"/>
      <c r="M146" s="7"/>
      <c r="N146" s="7"/>
      <c r="O146" s="7"/>
      <c r="P146" s="7"/>
      <c r="Q146" s="7"/>
      <c r="U146" s="8">
        <f t="shared" si="1"/>
        <v>0.5</v>
      </c>
      <c r="V146" s="8">
        <f t="shared" si="2"/>
        <v>101</v>
      </c>
      <c r="W146" s="8" t="str">
        <f t="shared" si="3"/>
        <v/>
      </c>
      <c r="X146" s="8" t="str">
        <f t="shared" si="4"/>
        <v>#N/A</v>
      </c>
    </row>
    <row r="147">
      <c r="A147" s="4">
        <f t="shared" si="5"/>
        <v>146</v>
      </c>
      <c r="B147" s="4" t="s">
        <v>273</v>
      </c>
      <c r="C147" s="4" t="s">
        <v>273</v>
      </c>
      <c r="D147" s="4" t="s">
        <v>8</v>
      </c>
      <c r="E147" s="4" t="s">
        <v>413</v>
      </c>
      <c r="F147" s="5">
        <v>0.5</v>
      </c>
      <c r="G147" s="10">
        <v>1.0</v>
      </c>
      <c r="H147" s="7"/>
      <c r="I147" s="7"/>
      <c r="J147" s="7"/>
      <c r="K147" s="7"/>
      <c r="L147" s="7"/>
      <c r="M147" s="7"/>
      <c r="N147" s="7"/>
      <c r="O147" s="7"/>
      <c r="P147" s="7"/>
      <c r="Q147" s="7"/>
      <c r="U147" s="8">
        <f t="shared" si="1"/>
        <v>0.5</v>
      </c>
      <c r="V147" s="8">
        <f t="shared" si="2"/>
        <v>101</v>
      </c>
      <c r="W147" s="8" t="str">
        <f t="shared" si="3"/>
        <v/>
      </c>
      <c r="X147" s="8" t="str">
        <f t="shared" si="4"/>
        <v>#N/A</v>
      </c>
    </row>
    <row r="148">
      <c r="A148" s="4">
        <f t="shared" si="5"/>
        <v>147</v>
      </c>
      <c r="B148" s="4" t="s">
        <v>287</v>
      </c>
      <c r="C148" s="4" t="s">
        <v>287</v>
      </c>
      <c r="D148" s="4" t="s">
        <v>8</v>
      </c>
      <c r="E148" s="4" t="s">
        <v>151</v>
      </c>
      <c r="F148" s="5">
        <v>0.5</v>
      </c>
      <c r="G148" s="10">
        <v>1.0</v>
      </c>
      <c r="H148" s="7"/>
      <c r="I148" s="7"/>
      <c r="J148" s="7"/>
      <c r="K148" s="7"/>
      <c r="L148" s="7"/>
      <c r="M148" s="7"/>
      <c r="N148" s="7"/>
      <c r="O148" s="7"/>
      <c r="P148" s="7"/>
      <c r="Q148" s="7"/>
      <c r="U148" s="8">
        <f t="shared" si="1"/>
        <v>0.5</v>
      </c>
      <c r="V148" s="8">
        <f t="shared" si="2"/>
        <v>101</v>
      </c>
      <c r="W148" s="8" t="str">
        <f t="shared" si="3"/>
        <v/>
      </c>
      <c r="X148" s="8" t="str">
        <f t="shared" si="4"/>
        <v>#N/A</v>
      </c>
    </row>
    <row r="149">
      <c r="A149" s="4">
        <f t="shared" si="5"/>
        <v>148</v>
      </c>
      <c r="B149" s="4" t="s">
        <v>285</v>
      </c>
      <c r="C149" s="4" t="s">
        <v>285</v>
      </c>
      <c r="D149" s="4" t="s">
        <v>8</v>
      </c>
      <c r="E149" s="4" t="s">
        <v>414</v>
      </c>
      <c r="F149" s="5">
        <v>0.5</v>
      </c>
      <c r="G149" s="10">
        <v>1.0</v>
      </c>
      <c r="H149" s="7"/>
      <c r="I149" s="7"/>
      <c r="J149" s="7"/>
      <c r="K149" s="7"/>
      <c r="L149" s="7"/>
      <c r="M149" s="7"/>
      <c r="N149" s="7"/>
      <c r="O149" s="7"/>
      <c r="P149" s="7"/>
      <c r="Q149" s="7"/>
      <c r="U149" s="8">
        <f t="shared" si="1"/>
        <v>0.5</v>
      </c>
      <c r="V149" s="8">
        <f t="shared" si="2"/>
        <v>101</v>
      </c>
      <c r="W149" s="8" t="str">
        <f t="shared" si="3"/>
        <v/>
      </c>
      <c r="X149" s="8" t="str">
        <f t="shared" si="4"/>
        <v>#N/A</v>
      </c>
    </row>
    <row r="150">
      <c r="A150" s="4">
        <f t="shared" si="5"/>
        <v>149</v>
      </c>
      <c r="B150" s="4" t="s">
        <v>293</v>
      </c>
      <c r="C150" s="4" t="s">
        <v>293</v>
      </c>
      <c r="D150" s="4" t="s">
        <v>8</v>
      </c>
      <c r="E150" s="4" t="s">
        <v>198</v>
      </c>
      <c r="F150" s="5">
        <v>0.5</v>
      </c>
      <c r="G150" s="10">
        <v>1.0</v>
      </c>
      <c r="H150" s="7"/>
      <c r="I150" s="7"/>
      <c r="J150" s="7"/>
      <c r="K150" s="7"/>
      <c r="L150" s="7"/>
      <c r="M150" s="7"/>
      <c r="N150" s="7"/>
      <c r="O150" s="7"/>
      <c r="P150" s="7"/>
      <c r="Q150" s="7"/>
      <c r="U150" s="8">
        <f t="shared" si="1"/>
        <v>0.5</v>
      </c>
      <c r="V150" s="8">
        <f t="shared" si="2"/>
        <v>101</v>
      </c>
      <c r="W150" s="8" t="str">
        <f t="shared" si="3"/>
        <v/>
      </c>
      <c r="X150" s="8" t="str">
        <f t="shared" si="4"/>
        <v>#N/A</v>
      </c>
    </row>
    <row r="151">
      <c r="A151" s="4">
        <f t="shared" si="5"/>
        <v>150</v>
      </c>
      <c r="B151" s="4" t="s">
        <v>281</v>
      </c>
      <c r="C151" s="4" t="s">
        <v>281</v>
      </c>
      <c r="D151" s="4" t="s">
        <v>8</v>
      </c>
      <c r="E151" s="4" t="s">
        <v>415</v>
      </c>
      <c r="F151" s="5">
        <v>0.5</v>
      </c>
      <c r="G151" s="10">
        <v>1.0</v>
      </c>
      <c r="H151" s="7"/>
      <c r="I151" s="7"/>
      <c r="J151" s="7"/>
      <c r="K151" s="7"/>
      <c r="L151" s="7"/>
      <c r="M151" s="7"/>
      <c r="N151" s="7"/>
      <c r="O151" s="7"/>
      <c r="P151" s="7"/>
      <c r="Q151" s="7"/>
      <c r="U151" s="8">
        <f t="shared" si="1"/>
        <v>0.5</v>
      </c>
      <c r="V151" s="8">
        <f t="shared" si="2"/>
        <v>101</v>
      </c>
      <c r="W151" s="8" t="str">
        <f t="shared" si="3"/>
        <v/>
      </c>
      <c r="X151" s="8" t="str">
        <f t="shared" si="4"/>
        <v>#N/A</v>
      </c>
    </row>
    <row r="152">
      <c r="A152" s="4">
        <f t="shared" si="5"/>
        <v>151</v>
      </c>
      <c r="B152" s="4" t="s">
        <v>294</v>
      </c>
      <c r="C152" s="4" t="s">
        <v>294</v>
      </c>
      <c r="D152" s="4" t="s">
        <v>8</v>
      </c>
      <c r="E152" s="4" t="s">
        <v>102</v>
      </c>
      <c r="F152" s="5">
        <v>0.5</v>
      </c>
      <c r="G152" s="10">
        <v>1.0</v>
      </c>
      <c r="H152" s="7"/>
      <c r="I152" s="7"/>
      <c r="J152" s="7"/>
      <c r="K152" s="7"/>
      <c r="L152" s="7"/>
      <c r="M152" s="7"/>
      <c r="N152" s="7"/>
      <c r="O152" s="7"/>
      <c r="P152" s="7"/>
      <c r="Q152" s="7"/>
      <c r="U152" s="8">
        <f t="shared" si="1"/>
        <v>0.5</v>
      </c>
      <c r="V152" s="8">
        <f t="shared" si="2"/>
        <v>101</v>
      </c>
      <c r="W152" s="8" t="str">
        <f t="shared" si="3"/>
        <v/>
      </c>
      <c r="X152" s="8" t="str">
        <f t="shared" si="4"/>
        <v>#N/A</v>
      </c>
    </row>
    <row r="153">
      <c r="A153" s="4">
        <f t="shared" si="5"/>
        <v>152</v>
      </c>
      <c r="B153" s="4" t="s">
        <v>286</v>
      </c>
      <c r="C153" s="4" t="s">
        <v>286</v>
      </c>
      <c r="D153" s="4" t="s">
        <v>8</v>
      </c>
      <c r="E153" s="4" t="s">
        <v>416</v>
      </c>
      <c r="F153" s="5">
        <v>0.5</v>
      </c>
      <c r="G153" s="10">
        <v>1.0</v>
      </c>
      <c r="H153" s="7"/>
      <c r="I153" s="7"/>
      <c r="J153" s="7"/>
      <c r="K153" s="7"/>
      <c r="L153" s="7"/>
      <c r="M153" s="7"/>
      <c r="N153" s="7"/>
      <c r="O153" s="7"/>
      <c r="P153" s="7"/>
      <c r="Q153" s="7"/>
      <c r="U153" s="8">
        <f t="shared" si="1"/>
        <v>0.5</v>
      </c>
      <c r="V153" s="8">
        <f t="shared" si="2"/>
        <v>101</v>
      </c>
      <c r="W153" s="8" t="str">
        <f t="shared" si="3"/>
        <v/>
      </c>
      <c r="X153" s="8" t="str">
        <f t="shared" si="4"/>
        <v>#N/A</v>
      </c>
    </row>
    <row r="154">
      <c r="A154" s="4">
        <f t="shared" si="5"/>
        <v>153</v>
      </c>
      <c r="B154" s="4" t="s">
        <v>273</v>
      </c>
      <c r="C154" s="4" t="s">
        <v>273</v>
      </c>
      <c r="D154" s="4" t="s">
        <v>8</v>
      </c>
      <c r="E154" s="4" t="s">
        <v>267</v>
      </c>
      <c r="F154" s="5">
        <v>0.5</v>
      </c>
      <c r="G154" s="10">
        <v>1.0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U154" s="8">
        <f t="shared" si="1"/>
        <v>0.5</v>
      </c>
      <c r="V154" s="8">
        <f t="shared" si="2"/>
        <v>101</v>
      </c>
      <c r="W154" s="8" t="str">
        <f t="shared" si="3"/>
        <v/>
      </c>
      <c r="X154" s="8" t="str">
        <f t="shared" si="4"/>
        <v>#N/A</v>
      </c>
    </row>
    <row r="155">
      <c r="A155" s="4">
        <f t="shared" si="5"/>
        <v>154</v>
      </c>
      <c r="B155" s="4" t="s">
        <v>287</v>
      </c>
      <c r="C155" s="4" t="s">
        <v>287</v>
      </c>
      <c r="D155" s="4" t="s">
        <v>8</v>
      </c>
      <c r="E155" s="4" t="s">
        <v>164</v>
      </c>
      <c r="F155" s="5">
        <v>0.5</v>
      </c>
      <c r="G155" s="10">
        <v>1.0</v>
      </c>
      <c r="H155" s="7"/>
      <c r="I155" s="7"/>
      <c r="J155" s="7"/>
      <c r="K155" s="7"/>
      <c r="L155" s="7"/>
      <c r="M155" s="7"/>
      <c r="N155" s="7"/>
      <c r="O155" s="7"/>
      <c r="P155" s="7"/>
      <c r="Q155" s="7"/>
      <c r="U155" s="8">
        <f t="shared" si="1"/>
        <v>0.5</v>
      </c>
      <c r="V155" s="8">
        <f t="shared" si="2"/>
        <v>101</v>
      </c>
      <c r="W155" s="8" t="str">
        <f t="shared" si="3"/>
        <v/>
      </c>
      <c r="X155" s="8" t="str">
        <f t="shared" si="4"/>
        <v>#N/A</v>
      </c>
    </row>
    <row r="156">
      <c r="A156" s="4">
        <f t="shared" si="5"/>
        <v>155</v>
      </c>
      <c r="B156" s="4" t="s">
        <v>285</v>
      </c>
      <c r="C156" s="4" t="s">
        <v>285</v>
      </c>
      <c r="D156" s="4" t="s">
        <v>8</v>
      </c>
      <c r="E156" s="4" t="s">
        <v>417</v>
      </c>
      <c r="F156" s="5">
        <v>0.5</v>
      </c>
      <c r="G156" s="10">
        <v>3.0</v>
      </c>
      <c r="H156" s="7"/>
      <c r="I156" s="7"/>
      <c r="J156" s="7"/>
      <c r="K156" s="7"/>
      <c r="L156" s="7"/>
      <c r="M156" s="7"/>
      <c r="N156" s="7"/>
      <c r="O156" s="7"/>
      <c r="P156" s="7"/>
      <c r="Q156" s="7"/>
      <c r="U156" s="8">
        <f t="shared" si="1"/>
        <v>0.5</v>
      </c>
      <c r="V156" s="8">
        <f t="shared" si="2"/>
        <v>101</v>
      </c>
      <c r="W156" s="8" t="str">
        <f t="shared" si="3"/>
        <v/>
      </c>
      <c r="X156" s="8" t="str">
        <f t="shared" si="4"/>
        <v>#N/A</v>
      </c>
    </row>
    <row r="157">
      <c r="A157" s="4">
        <f t="shared" si="5"/>
        <v>156</v>
      </c>
      <c r="B157" s="4" t="s">
        <v>293</v>
      </c>
      <c r="C157" s="4" t="s">
        <v>293</v>
      </c>
      <c r="D157" s="4" t="s">
        <v>8</v>
      </c>
      <c r="E157" s="4" t="s">
        <v>418</v>
      </c>
      <c r="F157" s="5">
        <v>0.5</v>
      </c>
      <c r="G157" s="10">
        <v>1.0</v>
      </c>
      <c r="H157" s="7"/>
      <c r="I157" s="7"/>
      <c r="J157" s="7"/>
      <c r="K157" s="7"/>
      <c r="L157" s="7"/>
      <c r="M157" s="7"/>
      <c r="N157" s="7"/>
      <c r="O157" s="7"/>
      <c r="P157" s="7"/>
      <c r="Q157" s="7"/>
      <c r="U157" s="8">
        <f t="shared" si="1"/>
        <v>0.5</v>
      </c>
      <c r="V157" s="8">
        <f t="shared" si="2"/>
        <v>101</v>
      </c>
      <c r="W157" s="8" t="str">
        <f t="shared" si="3"/>
        <v/>
      </c>
      <c r="X157" s="8" t="str">
        <f t="shared" si="4"/>
        <v>#N/A</v>
      </c>
    </row>
    <row r="158">
      <c r="A158" s="4">
        <f t="shared" si="5"/>
        <v>157</v>
      </c>
      <c r="B158" s="4" t="s">
        <v>294</v>
      </c>
      <c r="C158" s="4" t="s">
        <v>294</v>
      </c>
      <c r="D158" s="4" t="s">
        <v>8</v>
      </c>
      <c r="E158" s="4" t="s">
        <v>419</v>
      </c>
      <c r="F158" s="5">
        <v>0.5</v>
      </c>
      <c r="G158" s="10">
        <v>1.0</v>
      </c>
      <c r="H158" s="7"/>
      <c r="I158" s="7"/>
      <c r="J158" s="7"/>
      <c r="K158" s="7"/>
      <c r="L158" s="7"/>
      <c r="M158" s="7"/>
      <c r="N158" s="7"/>
      <c r="O158" s="7"/>
      <c r="P158" s="7"/>
      <c r="Q158" s="7"/>
      <c r="U158" s="8">
        <f t="shared" si="1"/>
        <v>0.5</v>
      </c>
      <c r="V158" s="8">
        <f t="shared" si="2"/>
        <v>101</v>
      </c>
      <c r="W158" s="8" t="str">
        <f t="shared" si="3"/>
        <v/>
      </c>
      <c r="X158" s="8" t="str">
        <f t="shared" si="4"/>
        <v>#N/A</v>
      </c>
    </row>
    <row r="159">
      <c r="A159" s="4">
        <f t="shared" si="5"/>
        <v>158</v>
      </c>
      <c r="B159" s="4" t="s">
        <v>286</v>
      </c>
      <c r="C159" s="4" t="s">
        <v>286</v>
      </c>
      <c r="D159" s="4" t="s">
        <v>8</v>
      </c>
      <c r="E159" s="4" t="s">
        <v>352</v>
      </c>
      <c r="F159" s="5">
        <v>0.5</v>
      </c>
      <c r="G159" s="10">
        <v>1.0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U159" s="8">
        <f t="shared" si="1"/>
        <v>0.5</v>
      </c>
      <c r="V159" s="8">
        <f t="shared" si="2"/>
        <v>101</v>
      </c>
      <c r="W159" s="8" t="str">
        <f t="shared" si="3"/>
        <v/>
      </c>
      <c r="X159" s="8" t="str">
        <f t="shared" si="4"/>
        <v>#N/A</v>
      </c>
    </row>
    <row r="160">
      <c r="A160" s="4">
        <f t="shared" si="5"/>
        <v>159</v>
      </c>
      <c r="B160" s="4" t="s">
        <v>273</v>
      </c>
      <c r="C160" s="4" t="s">
        <v>273</v>
      </c>
      <c r="D160" s="4" t="s">
        <v>8</v>
      </c>
      <c r="E160" s="4" t="s">
        <v>420</v>
      </c>
      <c r="F160" s="5">
        <v>0.5</v>
      </c>
      <c r="G160" s="10">
        <v>1.0</v>
      </c>
      <c r="H160" s="7"/>
      <c r="I160" s="7"/>
      <c r="J160" s="7"/>
      <c r="K160" s="7"/>
      <c r="L160" s="7"/>
      <c r="M160" s="7"/>
      <c r="N160" s="7"/>
      <c r="O160" s="7"/>
      <c r="P160" s="7"/>
      <c r="Q160" s="7"/>
      <c r="U160" s="8">
        <f t="shared" si="1"/>
        <v>0.5</v>
      </c>
      <c r="V160" s="8">
        <f t="shared" si="2"/>
        <v>101</v>
      </c>
      <c r="W160" s="8" t="str">
        <f t="shared" si="3"/>
        <v/>
      </c>
      <c r="X160" s="8" t="str">
        <f t="shared" si="4"/>
        <v>#N/A</v>
      </c>
    </row>
    <row r="161">
      <c r="A161" s="4">
        <f t="shared" si="5"/>
        <v>160</v>
      </c>
      <c r="B161" s="4" t="s">
        <v>293</v>
      </c>
      <c r="C161" s="4" t="s">
        <v>293</v>
      </c>
      <c r="D161" s="4" t="s">
        <v>8</v>
      </c>
      <c r="E161" s="4" t="s">
        <v>169</v>
      </c>
      <c r="F161" s="5">
        <v>0.5</v>
      </c>
      <c r="G161" s="10">
        <v>1.0</v>
      </c>
      <c r="H161" s="7"/>
      <c r="I161" s="7"/>
      <c r="J161" s="7"/>
      <c r="K161" s="7"/>
      <c r="L161" s="7"/>
      <c r="M161" s="7"/>
      <c r="N161" s="7"/>
      <c r="O161" s="7"/>
      <c r="P161" s="7"/>
      <c r="Q161" s="7"/>
      <c r="U161" s="8">
        <f t="shared" si="1"/>
        <v>0.5</v>
      </c>
      <c r="V161" s="8">
        <f t="shared" si="2"/>
        <v>101</v>
      </c>
      <c r="W161" s="8" t="str">
        <f t="shared" si="3"/>
        <v/>
      </c>
      <c r="X161" s="8" t="str">
        <f t="shared" si="4"/>
        <v>#N/A</v>
      </c>
    </row>
    <row r="162">
      <c r="A162" s="4">
        <f t="shared" si="5"/>
        <v>161</v>
      </c>
      <c r="B162" s="4" t="s">
        <v>294</v>
      </c>
      <c r="C162" s="4" t="s">
        <v>294</v>
      </c>
      <c r="D162" s="4" t="s">
        <v>8</v>
      </c>
      <c r="E162" s="4" t="s">
        <v>240</v>
      </c>
      <c r="F162" s="5">
        <v>0.5</v>
      </c>
      <c r="G162" s="10">
        <v>1.0</v>
      </c>
      <c r="H162" s="7"/>
      <c r="I162" s="7"/>
      <c r="J162" s="7"/>
      <c r="K162" s="7"/>
      <c r="L162" s="7"/>
      <c r="M162" s="7"/>
      <c r="N162" s="7"/>
      <c r="O162" s="7"/>
      <c r="P162" s="7"/>
      <c r="Q162" s="7"/>
      <c r="U162" s="8">
        <f t="shared" si="1"/>
        <v>0.5</v>
      </c>
      <c r="V162" s="8">
        <f t="shared" si="2"/>
        <v>101</v>
      </c>
      <c r="W162" s="8" t="str">
        <f t="shared" si="3"/>
        <v/>
      </c>
      <c r="X162" s="8" t="str">
        <f t="shared" si="4"/>
        <v>#N/A</v>
      </c>
    </row>
    <row r="163">
      <c r="A163" s="4">
        <f t="shared" si="5"/>
        <v>162</v>
      </c>
      <c r="B163" s="4" t="s">
        <v>286</v>
      </c>
      <c r="C163" s="4" t="s">
        <v>286</v>
      </c>
      <c r="D163" s="4" t="s">
        <v>8</v>
      </c>
      <c r="E163" s="4" t="s">
        <v>247</v>
      </c>
      <c r="F163" s="5">
        <v>0.5</v>
      </c>
      <c r="G163" s="10">
        <v>1.0</v>
      </c>
      <c r="H163" s="7"/>
      <c r="I163" s="7"/>
      <c r="J163" s="7"/>
      <c r="K163" s="7"/>
      <c r="L163" s="7"/>
      <c r="M163" s="7"/>
      <c r="N163" s="7"/>
      <c r="O163" s="7"/>
      <c r="P163" s="7"/>
      <c r="Q163" s="7"/>
      <c r="U163" s="8">
        <f t="shared" si="1"/>
        <v>0.5</v>
      </c>
      <c r="V163" s="8">
        <f t="shared" si="2"/>
        <v>101</v>
      </c>
      <c r="W163" s="8" t="str">
        <f t="shared" si="3"/>
        <v/>
      </c>
      <c r="X163" s="8" t="str">
        <f t="shared" si="4"/>
        <v>#N/A</v>
      </c>
    </row>
    <row r="164">
      <c r="A164" s="4">
        <f t="shared" si="5"/>
        <v>163</v>
      </c>
      <c r="B164" s="4" t="s">
        <v>273</v>
      </c>
      <c r="C164" s="4" t="s">
        <v>273</v>
      </c>
      <c r="D164" s="4" t="s">
        <v>8</v>
      </c>
      <c r="E164" s="4" t="s">
        <v>150</v>
      </c>
      <c r="F164" s="5">
        <v>0.5</v>
      </c>
      <c r="G164" s="10">
        <v>2.0</v>
      </c>
      <c r="H164" s="7"/>
      <c r="I164" s="7"/>
      <c r="J164" s="7"/>
      <c r="K164" s="7"/>
      <c r="L164" s="7"/>
      <c r="M164" s="7"/>
      <c r="N164" s="7"/>
      <c r="O164" s="7"/>
      <c r="P164" s="7"/>
      <c r="Q164" s="7"/>
      <c r="U164" s="8">
        <f t="shared" si="1"/>
        <v>0.5</v>
      </c>
      <c r="V164" s="8">
        <f t="shared" si="2"/>
        <v>101</v>
      </c>
      <c r="W164" s="8" t="str">
        <f t="shared" si="3"/>
        <v/>
      </c>
      <c r="X164" s="8" t="str">
        <f t="shared" si="4"/>
        <v>#N/A</v>
      </c>
    </row>
    <row r="165">
      <c r="A165" s="4">
        <f t="shared" si="5"/>
        <v>164</v>
      </c>
      <c r="B165" s="4" t="s">
        <v>293</v>
      </c>
      <c r="C165" s="4" t="s">
        <v>293</v>
      </c>
      <c r="D165" s="4" t="s">
        <v>8</v>
      </c>
      <c r="E165" s="4" t="s">
        <v>421</v>
      </c>
      <c r="F165" s="5">
        <v>0.5</v>
      </c>
      <c r="G165" s="10">
        <v>1.0</v>
      </c>
      <c r="H165" s="7"/>
      <c r="I165" s="7"/>
      <c r="J165" s="7"/>
      <c r="K165" s="7"/>
      <c r="L165" s="7"/>
      <c r="M165" s="7"/>
      <c r="N165" s="7"/>
      <c r="O165" s="7"/>
      <c r="P165" s="7"/>
      <c r="Q165" s="7"/>
      <c r="U165" s="8">
        <f t="shared" si="1"/>
        <v>0.5</v>
      </c>
      <c r="V165" s="8">
        <f t="shared" si="2"/>
        <v>101</v>
      </c>
      <c r="W165" s="8" t="str">
        <f t="shared" si="3"/>
        <v/>
      </c>
      <c r="X165" s="8" t="str">
        <f t="shared" si="4"/>
        <v>#N/A</v>
      </c>
    </row>
    <row r="166">
      <c r="A166" s="4">
        <f t="shared" si="5"/>
        <v>165</v>
      </c>
      <c r="B166" s="3" t="s">
        <v>294</v>
      </c>
      <c r="C166" s="3" t="s">
        <v>294</v>
      </c>
      <c r="D166" s="3" t="s">
        <v>8</v>
      </c>
      <c r="E166" s="3" t="s">
        <v>72</v>
      </c>
      <c r="F166" s="3">
        <v>0.5</v>
      </c>
      <c r="G166" s="3">
        <v>1.0</v>
      </c>
      <c r="U166" s="8">
        <f t="shared" si="1"/>
        <v>0.5</v>
      </c>
      <c r="V166" s="8">
        <f t="shared" si="2"/>
        <v>101</v>
      </c>
      <c r="W166" s="8" t="str">
        <f t="shared" si="3"/>
        <v/>
      </c>
      <c r="X166" s="8" t="str">
        <f t="shared" si="4"/>
        <v>#N/A</v>
      </c>
    </row>
    <row r="167">
      <c r="A167" s="4">
        <f t="shared" si="5"/>
        <v>166</v>
      </c>
      <c r="B167" s="3" t="s">
        <v>293</v>
      </c>
      <c r="C167" s="3" t="s">
        <v>293</v>
      </c>
      <c r="D167" s="3" t="s">
        <v>8</v>
      </c>
      <c r="E167" s="3" t="s">
        <v>163</v>
      </c>
      <c r="F167" s="3">
        <v>0.5</v>
      </c>
      <c r="G167" s="3">
        <v>1.0</v>
      </c>
      <c r="U167" s="8">
        <f t="shared" si="1"/>
        <v>0.5</v>
      </c>
      <c r="V167" s="8">
        <f t="shared" si="2"/>
        <v>101</v>
      </c>
      <c r="W167" s="8" t="str">
        <f t="shared" si="3"/>
        <v/>
      </c>
      <c r="X167" s="8" t="str">
        <f t="shared" si="4"/>
        <v>#N/A</v>
      </c>
    </row>
    <row r="168">
      <c r="A168" s="4">
        <f t="shared" si="5"/>
        <v>167</v>
      </c>
      <c r="B168" s="3" t="s">
        <v>294</v>
      </c>
      <c r="C168" s="3" t="s">
        <v>294</v>
      </c>
      <c r="D168" s="3" t="s">
        <v>8</v>
      </c>
      <c r="E168" s="3" t="s">
        <v>422</v>
      </c>
      <c r="F168" s="3">
        <v>0.5</v>
      </c>
      <c r="G168" s="3">
        <v>1.0</v>
      </c>
      <c r="U168" s="8">
        <f t="shared" si="1"/>
        <v>0.5</v>
      </c>
      <c r="V168" s="8">
        <f t="shared" si="2"/>
        <v>101</v>
      </c>
      <c r="W168" s="8" t="str">
        <f t="shared" si="3"/>
        <v/>
      </c>
      <c r="X168" s="8" t="str">
        <f t="shared" si="4"/>
        <v>#N/A</v>
      </c>
    </row>
    <row r="169">
      <c r="A169" s="4">
        <f t="shared" si="5"/>
        <v>168</v>
      </c>
      <c r="B169" s="3" t="s">
        <v>293</v>
      </c>
      <c r="C169" s="3" t="s">
        <v>293</v>
      </c>
      <c r="D169" s="3" t="s">
        <v>8</v>
      </c>
      <c r="E169" s="3" t="s">
        <v>423</v>
      </c>
      <c r="F169" s="3">
        <v>0.5</v>
      </c>
      <c r="G169" s="3">
        <v>1.0</v>
      </c>
      <c r="U169" s="8">
        <f t="shared" si="1"/>
        <v>0.5</v>
      </c>
      <c r="V169" s="8">
        <f t="shared" si="2"/>
        <v>101</v>
      </c>
      <c r="W169" s="8" t="str">
        <f t="shared" si="3"/>
        <v/>
      </c>
      <c r="X169" s="8" t="str">
        <f t="shared" si="4"/>
        <v>#N/A</v>
      </c>
    </row>
    <row r="170">
      <c r="A170" s="4">
        <f t="shared" si="5"/>
        <v>169</v>
      </c>
      <c r="B170" s="3" t="s">
        <v>294</v>
      </c>
      <c r="C170" s="3" t="s">
        <v>294</v>
      </c>
      <c r="D170" s="3" t="s">
        <v>8</v>
      </c>
      <c r="E170" s="3" t="s">
        <v>424</v>
      </c>
      <c r="F170" s="3">
        <v>0.5</v>
      </c>
      <c r="G170" s="3">
        <v>1.0</v>
      </c>
      <c r="U170" s="8">
        <f t="shared" si="1"/>
        <v>0.5</v>
      </c>
      <c r="V170" s="8">
        <f t="shared" si="2"/>
        <v>101</v>
      </c>
      <c r="W170" s="8" t="str">
        <f t="shared" si="3"/>
        <v/>
      </c>
      <c r="X170" s="8" t="str">
        <f t="shared" si="4"/>
        <v>#N/A</v>
      </c>
    </row>
    <row r="171">
      <c r="A171" s="4">
        <f t="shared" si="5"/>
        <v>170</v>
      </c>
      <c r="B171" s="3" t="s">
        <v>293</v>
      </c>
      <c r="C171" s="3" t="s">
        <v>293</v>
      </c>
      <c r="D171" s="3" t="s">
        <v>8</v>
      </c>
      <c r="E171" s="3" t="s">
        <v>259</v>
      </c>
      <c r="F171" s="3">
        <v>0.5</v>
      </c>
      <c r="G171" s="3">
        <v>1.0</v>
      </c>
      <c r="U171" s="8">
        <f t="shared" si="1"/>
        <v>0.5</v>
      </c>
      <c r="V171" s="8">
        <f t="shared" si="2"/>
        <v>101</v>
      </c>
      <c r="W171" s="8" t="str">
        <f t="shared" si="3"/>
        <v/>
      </c>
      <c r="X171" s="8" t="str">
        <f t="shared" si="4"/>
        <v>#N/A</v>
      </c>
    </row>
    <row r="172">
      <c r="A172" s="4">
        <f t="shared" si="5"/>
        <v>171</v>
      </c>
      <c r="B172" s="3" t="s">
        <v>294</v>
      </c>
      <c r="C172" s="3" t="s">
        <v>294</v>
      </c>
      <c r="D172" s="3" t="s">
        <v>8</v>
      </c>
      <c r="E172" s="3" t="s">
        <v>329</v>
      </c>
      <c r="F172" s="3">
        <v>0.5</v>
      </c>
      <c r="G172" s="3">
        <v>1.0</v>
      </c>
      <c r="U172" s="8">
        <f t="shared" si="1"/>
        <v>0.5</v>
      </c>
      <c r="V172" s="8">
        <f t="shared" si="2"/>
        <v>101</v>
      </c>
      <c r="W172" s="8" t="str">
        <f t="shared" si="3"/>
        <v/>
      </c>
      <c r="X172" s="8" t="str">
        <f t="shared" si="4"/>
        <v>#N/A</v>
      </c>
    </row>
    <row r="173">
      <c r="A173" s="4">
        <f t="shared" si="5"/>
        <v>172</v>
      </c>
      <c r="B173" s="3" t="s">
        <v>293</v>
      </c>
      <c r="C173" s="3" t="s">
        <v>293</v>
      </c>
      <c r="D173" s="3" t="s">
        <v>8</v>
      </c>
      <c r="E173" s="3" t="s">
        <v>425</v>
      </c>
      <c r="F173" s="3">
        <v>0.5</v>
      </c>
      <c r="G173" s="3">
        <v>1.0</v>
      </c>
      <c r="U173" s="8">
        <f t="shared" si="1"/>
        <v>0.5</v>
      </c>
      <c r="V173" s="8">
        <f t="shared" si="2"/>
        <v>101</v>
      </c>
      <c r="W173" s="8" t="str">
        <f t="shared" si="3"/>
        <v/>
      </c>
      <c r="X173" s="8" t="str">
        <f t="shared" si="4"/>
        <v>#N/A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U1" s="3" t="s">
        <v>8</v>
      </c>
      <c r="V1" s="3" t="s">
        <v>9</v>
      </c>
      <c r="W1" s="3" t="s">
        <v>10</v>
      </c>
      <c r="X1" s="3" t="s">
        <v>11</v>
      </c>
    </row>
    <row r="2">
      <c r="A2" s="4">
        <v>1.0</v>
      </c>
      <c r="B2" s="4" t="s">
        <v>288</v>
      </c>
      <c r="C2" s="4" t="s">
        <v>288</v>
      </c>
      <c r="D2" s="4" t="s">
        <v>10</v>
      </c>
      <c r="E2" s="4" t="s">
        <v>219</v>
      </c>
      <c r="F2" s="5">
        <v>8.6</v>
      </c>
      <c r="G2" s="5">
        <v>3.0</v>
      </c>
      <c r="H2" s="13"/>
      <c r="I2" s="6"/>
      <c r="J2" s="6"/>
      <c r="K2" s="6"/>
      <c r="L2" s="7"/>
      <c r="M2" s="7"/>
      <c r="N2" s="7"/>
      <c r="O2" s="7"/>
      <c r="P2" s="7"/>
      <c r="Q2" s="7"/>
      <c r="U2" s="8" t="str">
        <f t="shared" ref="U2:U152" si="1">if($D2=U$1,$F2,"")</f>
        <v/>
      </c>
      <c r="V2" s="8" t="str">
        <f t="shared" ref="V2:V152" si="2">rank(U2,$U$2:$U$173)</f>
        <v>#N/A</v>
      </c>
      <c r="W2" s="8">
        <f t="shared" ref="W2:W152" si="3">if($D2=W$1,$F2,"")</f>
        <v>8.6</v>
      </c>
      <c r="X2" s="8">
        <f t="shared" ref="X2:X152" si="4">rank(W2,$W$2:$W$173)</f>
        <v>1</v>
      </c>
    </row>
    <row r="3">
      <c r="A3" s="4">
        <f t="shared" ref="A3:A152" si="5">A2+1</f>
        <v>2</v>
      </c>
      <c r="B3" s="4" t="s">
        <v>288</v>
      </c>
      <c r="C3" s="4" t="s">
        <v>286</v>
      </c>
      <c r="D3" s="4" t="s">
        <v>8</v>
      </c>
      <c r="E3" s="4" t="s">
        <v>426</v>
      </c>
      <c r="F3" s="5">
        <v>7.8</v>
      </c>
      <c r="G3" s="5">
        <v>2.0</v>
      </c>
      <c r="H3" s="7"/>
      <c r="I3" s="7"/>
      <c r="J3" s="7"/>
      <c r="K3" s="7"/>
      <c r="L3" s="7"/>
      <c r="M3" s="7"/>
      <c r="N3" s="7"/>
      <c r="O3" s="7"/>
      <c r="P3" s="7"/>
      <c r="Q3" s="7"/>
      <c r="U3" s="8">
        <f t="shared" si="1"/>
        <v>7.8</v>
      </c>
      <c r="V3" s="8">
        <f t="shared" si="2"/>
        <v>3</v>
      </c>
      <c r="W3" s="8" t="str">
        <f t="shared" si="3"/>
        <v/>
      </c>
      <c r="X3" s="8" t="str">
        <f t="shared" si="4"/>
        <v>#N/A</v>
      </c>
    </row>
    <row r="4">
      <c r="A4" s="4">
        <f t="shared" si="5"/>
        <v>3</v>
      </c>
      <c r="B4" s="4" t="s">
        <v>280</v>
      </c>
      <c r="C4" s="4" t="s">
        <v>285</v>
      </c>
      <c r="D4" s="4" t="s">
        <v>10</v>
      </c>
      <c r="E4" s="4" t="s">
        <v>427</v>
      </c>
      <c r="F4" s="5">
        <v>3.0</v>
      </c>
      <c r="G4" s="5">
        <v>4.0</v>
      </c>
      <c r="H4" s="6" t="s">
        <v>428</v>
      </c>
      <c r="I4" s="4"/>
      <c r="J4" s="4"/>
      <c r="K4" s="4"/>
      <c r="L4" s="4"/>
      <c r="M4" s="7"/>
      <c r="N4" s="7"/>
      <c r="O4" s="7"/>
      <c r="P4" s="7"/>
      <c r="Q4" s="7"/>
      <c r="U4" s="8" t="str">
        <f t="shared" si="1"/>
        <v/>
      </c>
      <c r="V4" s="8" t="str">
        <f t="shared" si="2"/>
        <v>#N/A</v>
      </c>
      <c r="W4" s="8">
        <f t="shared" si="3"/>
        <v>3</v>
      </c>
      <c r="X4" s="8">
        <f t="shared" si="4"/>
        <v>7</v>
      </c>
    </row>
    <row r="5">
      <c r="A5" s="4">
        <f t="shared" si="5"/>
        <v>4</v>
      </c>
      <c r="B5" s="4" t="s">
        <v>280</v>
      </c>
      <c r="C5" s="4" t="s">
        <v>281</v>
      </c>
      <c r="D5" s="4" t="s">
        <v>8</v>
      </c>
      <c r="E5" s="4" t="s">
        <v>81</v>
      </c>
      <c r="F5" s="5">
        <v>5.6</v>
      </c>
      <c r="G5" s="5">
        <v>1.0</v>
      </c>
      <c r="H5" s="7"/>
      <c r="I5" s="7"/>
      <c r="J5" s="7"/>
      <c r="K5" s="7"/>
      <c r="L5" s="7"/>
      <c r="M5" s="7"/>
      <c r="N5" s="7"/>
      <c r="O5" s="7"/>
      <c r="P5" s="7"/>
      <c r="Q5" s="7"/>
      <c r="U5" s="8">
        <f t="shared" si="1"/>
        <v>5.6</v>
      </c>
      <c r="V5" s="8">
        <f t="shared" si="2"/>
        <v>11</v>
      </c>
      <c r="W5" s="8" t="str">
        <f t="shared" si="3"/>
        <v/>
      </c>
      <c r="X5" s="8" t="str">
        <f t="shared" si="4"/>
        <v>#N/A</v>
      </c>
    </row>
    <row r="6">
      <c r="A6" s="4">
        <f t="shared" si="5"/>
        <v>5</v>
      </c>
      <c r="B6" s="4" t="s">
        <v>285</v>
      </c>
      <c r="C6" s="4" t="s">
        <v>280</v>
      </c>
      <c r="D6" s="4" t="s">
        <v>10</v>
      </c>
      <c r="E6" s="4" t="s">
        <v>39</v>
      </c>
      <c r="F6" s="5">
        <v>2.4</v>
      </c>
      <c r="G6" s="5">
        <v>4.0</v>
      </c>
      <c r="H6" s="7"/>
      <c r="I6" s="7"/>
      <c r="J6" s="7"/>
      <c r="K6" s="9"/>
      <c r="L6" s="7"/>
      <c r="M6" s="7"/>
      <c r="N6" s="7"/>
      <c r="O6" s="7"/>
      <c r="P6" s="7"/>
      <c r="Q6" s="7"/>
      <c r="U6" s="8" t="str">
        <f t="shared" si="1"/>
        <v/>
      </c>
      <c r="V6" s="8" t="str">
        <f t="shared" si="2"/>
        <v>#N/A</v>
      </c>
      <c r="W6" s="8">
        <f t="shared" si="3"/>
        <v>2.4</v>
      </c>
      <c r="X6" s="8">
        <f t="shared" si="4"/>
        <v>10</v>
      </c>
    </row>
    <row r="7">
      <c r="A7" s="4">
        <f t="shared" si="5"/>
        <v>6</v>
      </c>
      <c r="B7" s="4" t="s">
        <v>285</v>
      </c>
      <c r="C7" s="4" t="s">
        <v>284</v>
      </c>
      <c r="D7" s="4" t="s">
        <v>8</v>
      </c>
      <c r="E7" s="4" t="s">
        <v>429</v>
      </c>
      <c r="F7" s="5">
        <v>2.1</v>
      </c>
      <c r="G7" s="5">
        <v>1.0</v>
      </c>
      <c r="H7" s="7"/>
      <c r="I7" s="7"/>
      <c r="J7" s="7"/>
      <c r="K7" s="7"/>
      <c r="L7" s="7"/>
      <c r="M7" s="7"/>
      <c r="N7" s="7"/>
      <c r="O7" s="7"/>
      <c r="P7" s="7"/>
      <c r="Q7" s="7"/>
      <c r="U7" s="8">
        <f t="shared" si="1"/>
        <v>2.1</v>
      </c>
      <c r="V7" s="8">
        <f t="shared" si="2"/>
        <v>52</v>
      </c>
      <c r="W7" s="8" t="str">
        <f t="shared" si="3"/>
        <v/>
      </c>
      <c r="X7" s="8" t="str">
        <f t="shared" si="4"/>
        <v>#N/A</v>
      </c>
    </row>
    <row r="8">
      <c r="A8" s="4">
        <f t="shared" si="5"/>
        <v>7</v>
      </c>
      <c r="B8" s="4" t="s">
        <v>273</v>
      </c>
      <c r="C8" s="4" t="s">
        <v>280</v>
      </c>
      <c r="D8" s="4" t="s">
        <v>8</v>
      </c>
      <c r="E8" s="4" t="s">
        <v>430</v>
      </c>
      <c r="F8" s="5">
        <v>1.1</v>
      </c>
      <c r="G8" s="5">
        <v>1.0</v>
      </c>
      <c r="H8" s="13"/>
      <c r="I8" s="7"/>
      <c r="J8" s="7"/>
      <c r="K8" s="7"/>
      <c r="L8" s="7"/>
      <c r="M8" s="7"/>
      <c r="N8" s="7"/>
      <c r="O8" s="7"/>
      <c r="P8" s="7"/>
      <c r="Q8" s="7"/>
      <c r="U8" s="8">
        <f t="shared" si="1"/>
        <v>1.1</v>
      </c>
      <c r="V8" s="8">
        <f t="shared" si="2"/>
        <v>76</v>
      </c>
      <c r="W8" s="8" t="str">
        <f t="shared" si="3"/>
        <v/>
      </c>
      <c r="X8" s="8" t="str">
        <f t="shared" si="4"/>
        <v>#N/A</v>
      </c>
    </row>
    <row r="9">
      <c r="A9" s="4">
        <f t="shared" si="5"/>
        <v>8</v>
      </c>
      <c r="B9" s="4" t="s">
        <v>286</v>
      </c>
      <c r="C9" s="4" t="s">
        <v>286</v>
      </c>
      <c r="D9" s="4" t="s">
        <v>10</v>
      </c>
      <c r="E9" s="4" t="s">
        <v>170</v>
      </c>
      <c r="F9" s="5">
        <v>5.2</v>
      </c>
      <c r="G9" s="5">
        <v>4.0</v>
      </c>
      <c r="H9" s="7"/>
      <c r="I9" s="7"/>
      <c r="J9" s="7"/>
      <c r="K9" s="7"/>
      <c r="L9" s="7"/>
      <c r="M9" s="7"/>
      <c r="N9" s="7"/>
      <c r="O9" s="7"/>
      <c r="P9" s="7"/>
      <c r="Q9" s="7"/>
      <c r="U9" s="8" t="str">
        <f t="shared" si="1"/>
        <v/>
      </c>
      <c r="V9" s="8" t="str">
        <f t="shared" si="2"/>
        <v>#N/A</v>
      </c>
      <c r="W9" s="8">
        <f t="shared" si="3"/>
        <v>5.2</v>
      </c>
      <c r="X9" s="8">
        <f t="shared" si="4"/>
        <v>3</v>
      </c>
    </row>
    <row r="10">
      <c r="A10" s="4">
        <f t="shared" si="5"/>
        <v>9</v>
      </c>
      <c r="B10" s="4" t="s">
        <v>286</v>
      </c>
      <c r="C10" s="4" t="s">
        <v>287</v>
      </c>
      <c r="D10" s="4" t="s">
        <v>8</v>
      </c>
      <c r="E10" s="4" t="s">
        <v>50</v>
      </c>
      <c r="F10" s="5">
        <v>6.7</v>
      </c>
      <c r="G10" s="5">
        <v>1.0</v>
      </c>
      <c r="H10" s="13"/>
      <c r="I10" s="6"/>
      <c r="J10" s="7"/>
      <c r="K10" s="7"/>
      <c r="L10" s="7"/>
      <c r="M10" s="7"/>
      <c r="N10" s="7"/>
      <c r="O10" s="7"/>
      <c r="P10" s="7"/>
      <c r="Q10" s="7"/>
      <c r="U10" s="8">
        <f t="shared" si="1"/>
        <v>6.7</v>
      </c>
      <c r="V10" s="8">
        <f t="shared" si="2"/>
        <v>6</v>
      </c>
      <c r="W10" s="8" t="str">
        <f t="shared" si="3"/>
        <v/>
      </c>
      <c r="X10" s="8" t="str">
        <f t="shared" si="4"/>
        <v>#N/A</v>
      </c>
    </row>
    <row r="11">
      <c r="A11" s="4">
        <f t="shared" si="5"/>
        <v>10</v>
      </c>
      <c r="B11" s="4" t="s">
        <v>293</v>
      </c>
      <c r="C11" s="4" t="s">
        <v>286</v>
      </c>
      <c r="D11" s="4" t="s">
        <v>10</v>
      </c>
      <c r="E11" s="4" t="s">
        <v>188</v>
      </c>
      <c r="F11" s="5">
        <v>6.4</v>
      </c>
      <c r="G11" s="5">
        <v>3.0</v>
      </c>
      <c r="H11" s="7"/>
      <c r="I11" s="7"/>
      <c r="J11" s="7"/>
      <c r="K11" s="7"/>
      <c r="L11" s="7"/>
      <c r="M11" s="7"/>
      <c r="N11" s="7"/>
      <c r="O11" s="7"/>
      <c r="P11" s="7"/>
      <c r="Q11" s="7"/>
      <c r="U11" s="8" t="str">
        <f t="shared" si="1"/>
        <v/>
      </c>
      <c r="V11" s="8" t="str">
        <f t="shared" si="2"/>
        <v>#N/A</v>
      </c>
      <c r="W11" s="8">
        <f t="shared" si="3"/>
        <v>6.4</v>
      </c>
      <c r="X11" s="8">
        <f t="shared" si="4"/>
        <v>2</v>
      </c>
    </row>
    <row r="12">
      <c r="A12" s="4">
        <f t="shared" si="5"/>
        <v>11</v>
      </c>
      <c r="B12" s="4" t="s">
        <v>293</v>
      </c>
      <c r="C12" s="4" t="s">
        <v>280</v>
      </c>
      <c r="D12" s="4" t="s">
        <v>8</v>
      </c>
      <c r="E12" s="4" t="s">
        <v>324</v>
      </c>
      <c r="F12" s="5">
        <v>4.0</v>
      </c>
      <c r="G12" s="5">
        <v>1.0</v>
      </c>
      <c r="H12" s="7"/>
      <c r="I12" s="7"/>
      <c r="J12" s="7"/>
      <c r="K12" s="7"/>
      <c r="L12" s="7"/>
      <c r="M12" s="7"/>
      <c r="N12" s="7"/>
      <c r="O12" s="7"/>
      <c r="P12" s="7"/>
      <c r="Q12" s="7"/>
      <c r="U12" s="8">
        <f t="shared" si="1"/>
        <v>4</v>
      </c>
      <c r="V12" s="8">
        <f t="shared" si="2"/>
        <v>22</v>
      </c>
      <c r="W12" s="8" t="str">
        <f t="shared" si="3"/>
        <v/>
      </c>
      <c r="X12" s="8" t="str">
        <f t="shared" si="4"/>
        <v>#N/A</v>
      </c>
    </row>
    <row r="13">
      <c r="A13" s="4">
        <f t="shared" si="5"/>
        <v>12</v>
      </c>
      <c r="B13" s="4" t="s">
        <v>287</v>
      </c>
      <c r="C13" s="4" t="s">
        <v>284</v>
      </c>
      <c r="D13" s="4" t="s">
        <v>10</v>
      </c>
      <c r="E13" s="4" t="s">
        <v>28</v>
      </c>
      <c r="F13" s="5">
        <v>2.4</v>
      </c>
      <c r="G13" s="5">
        <v>4.0</v>
      </c>
      <c r="H13" s="7"/>
      <c r="I13" s="7"/>
      <c r="J13" s="7"/>
      <c r="K13" s="7"/>
      <c r="L13" s="7"/>
      <c r="M13" s="7"/>
      <c r="N13" s="7"/>
      <c r="O13" s="7"/>
      <c r="P13" s="7"/>
      <c r="Q13" s="7"/>
      <c r="U13" s="8" t="str">
        <f t="shared" si="1"/>
        <v/>
      </c>
      <c r="V13" s="8" t="str">
        <f t="shared" si="2"/>
        <v>#N/A</v>
      </c>
      <c r="W13" s="8">
        <f t="shared" si="3"/>
        <v>2.4</v>
      </c>
      <c r="X13" s="8">
        <f t="shared" si="4"/>
        <v>10</v>
      </c>
    </row>
    <row r="14">
      <c r="A14" s="4">
        <f t="shared" si="5"/>
        <v>13</v>
      </c>
      <c r="B14" s="4" t="s">
        <v>287</v>
      </c>
      <c r="C14" s="4" t="s">
        <v>293</v>
      </c>
      <c r="D14" s="4" t="s">
        <v>8</v>
      </c>
      <c r="E14" s="4" t="s">
        <v>268</v>
      </c>
      <c r="F14" s="5">
        <v>4.3</v>
      </c>
      <c r="G14" s="5">
        <v>1.0</v>
      </c>
      <c r="H14" s="13"/>
      <c r="I14" s="6"/>
      <c r="J14" s="6"/>
      <c r="K14" s="6"/>
      <c r="L14" s="7"/>
      <c r="M14" s="7"/>
      <c r="N14" s="7"/>
      <c r="O14" s="7"/>
      <c r="P14" s="7"/>
      <c r="Q14" s="7"/>
      <c r="U14" s="8">
        <f t="shared" si="1"/>
        <v>4.3</v>
      </c>
      <c r="V14" s="8">
        <f t="shared" si="2"/>
        <v>18</v>
      </c>
      <c r="W14" s="8" t="str">
        <f t="shared" si="3"/>
        <v/>
      </c>
      <c r="X14" s="8" t="str">
        <f t="shared" si="4"/>
        <v>#N/A</v>
      </c>
    </row>
    <row r="15">
      <c r="A15" s="4">
        <f t="shared" si="5"/>
        <v>14</v>
      </c>
      <c r="B15" s="4" t="s">
        <v>284</v>
      </c>
      <c r="C15" s="4" t="s">
        <v>273</v>
      </c>
      <c r="D15" s="4" t="s">
        <v>10</v>
      </c>
      <c r="E15" s="4" t="s">
        <v>177</v>
      </c>
      <c r="F15" s="5">
        <v>4.0</v>
      </c>
      <c r="G15" s="5">
        <v>3.0</v>
      </c>
      <c r="H15" s="7"/>
      <c r="I15" s="7"/>
      <c r="J15" s="7"/>
      <c r="K15" s="7"/>
      <c r="L15" s="7"/>
      <c r="M15" s="7"/>
      <c r="N15" s="7"/>
      <c r="O15" s="7"/>
      <c r="P15" s="7"/>
      <c r="Q15" s="7"/>
      <c r="U15" s="8" t="str">
        <f t="shared" si="1"/>
        <v/>
      </c>
      <c r="V15" s="8" t="str">
        <f t="shared" si="2"/>
        <v>#N/A</v>
      </c>
      <c r="W15" s="8">
        <f t="shared" si="3"/>
        <v>4</v>
      </c>
      <c r="X15" s="8">
        <f t="shared" si="4"/>
        <v>4</v>
      </c>
    </row>
    <row r="16">
      <c r="A16" s="4">
        <f t="shared" si="5"/>
        <v>15</v>
      </c>
      <c r="B16" s="4" t="s">
        <v>284</v>
      </c>
      <c r="C16" s="4" t="s">
        <v>288</v>
      </c>
      <c r="D16" s="4" t="s">
        <v>8</v>
      </c>
      <c r="E16" s="4" t="s">
        <v>124</v>
      </c>
      <c r="F16" s="5">
        <v>3.0</v>
      </c>
      <c r="G16" s="5">
        <v>3.0</v>
      </c>
      <c r="H16" s="7"/>
      <c r="I16" s="7"/>
      <c r="J16" s="7"/>
      <c r="K16" s="7"/>
      <c r="L16" s="7"/>
      <c r="M16" s="7"/>
      <c r="N16" s="7"/>
      <c r="O16" s="7"/>
      <c r="P16" s="7"/>
      <c r="Q16" s="7"/>
      <c r="U16" s="8">
        <f t="shared" si="1"/>
        <v>3</v>
      </c>
      <c r="V16" s="8">
        <f t="shared" si="2"/>
        <v>33</v>
      </c>
      <c r="W16" s="8" t="str">
        <f t="shared" si="3"/>
        <v/>
      </c>
      <c r="X16" s="8" t="str">
        <f t="shared" si="4"/>
        <v>#N/A</v>
      </c>
    </row>
    <row r="17">
      <c r="A17" s="4">
        <f t="shared" si="5"/>
        <v>16</v>
      </c>
      <c r="B17" s="4" t="s">
        <v>294</v>
      </c>
      <c r="C17" s="4" t="s">
        <v>274</v>
      </c>
      <c r="D17" s="4" t="s">
        <v>10</v>
      </c>
      <c r="E17" s="4" t="s">
        <v>214</v>
      </c>
      <c r="F17" s="5">
        <v>3.2</v>
      </c>
      <c r="G17" s="5">
        <v>2.0</v>
      </c>
      <c r="H17" s="6" t="s">
        <v>431</v>
      </c>
      <c r="I17" s="7"/>
      <c r="J17" s="7"/>
      <c r="K17" s="7"/>
      <c r="L17" s="7"/>
      <c r="M17" s="7"/>
      <c r="N17" s="7"/>
      <c r="O17" s="7"/>
      <c r="P17" s="7"/>
      <c r="Q17" s="7"/>
      <c r="U17" s="8" t="str">
        <f t="shared" si="1"/>
        <v/>
      </c>
      <c r="V17" s="8" t="str">
        <f t="shared" si="2"/>
        <v>#N/A</v>
      </c>
      <c r="W17" s="8">
        <f t="shared" si="3"/>
        <v>3.2</v>
      </c>
      <c r="X17" s="8">
        <f t="shared" si="4"/>
        <v>5</v>
      </c>
    </row>
    <row r="18">
      <c r="A18" s="4">
        <f t="shared" si="5"/>
        <v>17</v>
      </c>
      <c r="B18" s="4" t="s">
        <v>294</v>
      </c>
      <c r="C18" s="4" t="s">
        <v>293</v>
      </c>
      <c r="D18" s="4" t="s">
        <v>8</v>
      </c>
      <c r="E18" s="4" t="s">
        <v>62</v>
      </c>
      <c r="F18" s="5">
        <v>4.7</v>
      </c>
      <c r="G18" s="5">
        <v>1.0</v>
      </c>
      <c r="H18" s="7"/>
      <c r="I18" s="7"/>
      <c r="J18" s="7"/>
      <c r="K18" s="7"/>
      <c r="L18" s="7"/>
      <c r="M18" s="7"/>
      <c r="N18" s="7"/>
      <c r="O18" s="7"/>
      <c r="P18" s="7"/>
      <c r="Q18" s="7"/>
      <c r="U18" s="8">
        <f t="shared" si="1"/>
        <v>4.7</v>
      </c>
      <c r="V18" s="8">
        <f t="shared" si="2"/>
        <v>15</v>
      </c>
      <c r="W18" s="8" t="str">
        <f t="shared" si="3"/>
        <v/>
      </c>
      <c r="X18" s="8" t="str">
        <f t="shared" si="4"/>
        <v>#N/A</v>
      </c>
    </row>
    <row r="19">
      <c r="A19" s="4">
        <f t="shared" si="5"/>
        <v>18</v>
      </c>
      <c r="B19" s="4" t="s">
        <v>274</v>
      </c>
      <c r="C19" s="4" t="s">
        <v>284</v>
      </c>
      <c r="D19" s="4" t="s">
        <v>10</v>
      </c>
      <c r="E19" s="4" t="s">
        <v>432</v>
      </c>
      <c r="F19" s="5">
        <v>3.2</v>
      </c>
      <c r="G19" s="5">
        <v>6.0</v>
      </c>
      <c r="H19" s="7"/>
      <c r="I19" s="7"/>
      <c r="J19" s="7"/>
      <c r="K19" s="7"/>
      <c r="L19" s="7"/>
      <c r="M19" s="7"/>
      <c r="N19" s="7"/>
      <c r="O19" s="7"/>
      <c r="P19" s="7"/>
      <c r="Q19" s="7"/>
      <c r="U19" s="8" t="str">
        <f t="shared" si="1"/>
        <v/>
      </c>
      <c r="V19" s="8" t="str">
        <f t="shared" si="2"/>
        <v>#N/A</v>
      </c>
      <c r="W19" s="8">
        <f t="shared" si="3"/>
        <v>3.2</v>
      </c>
      <c r="X19" s="8">
        <f t="shared" si="4"/>
        <v>5</v>
      </c>
    </row>
    <row r="20">
      <c r="A20" s="4">
        <f t="shared" si="5"/>
        <v>19</v>
      </c>
      <c r="B20" s="4" t="s">
        <v>274</v>
      </c>
      <c r="C20" s="4" t="s">
        <v>294</v>
      </c>
      <c r="D20" s="4" t="s">
        <v>8</v>
      </c>
      <c r="E20" s="4" t="s">
        <v>317</v>
      </c>
      <c r="F20" s="5">
        <v>5.1</v>
      </c>
      <c r="G20" s="5">
        <v>1.0</v>
      </c>
      <c r="H20" s="7"/>
      <c r="I20" s="7"/>
      <c r="J20" s="7"/>
      <c r="K20" s="7"/>
      <c r="L20" s="7"/>
      <c r="M20" s="7"/>
      <c r="N20" s="7"/>
      <c r="O20" s="7"/>
      <c r="P20" s="7"/>
      <c r="Q20" s="7"/>
      <c r="U20" s="8">
        <f t="shared" si="1"/>
        <v>5.1</v>
      </c>
      <c r="V20" s="8">
        <f t="shared" si="2"/>
        <v>14</v>
      </c>
      <c r="W20" s="8" t="str">
        <f t="shared" si="3"/>
        <v/>
      </c>
      <c r="X20" s="8" t="str">
        <f t="shared" si="4"/>
        <v>#N/A</v>
      </c>
    </row>
    <row r="21">
      <c r="A21" s="4">
        <f t="shared" si="5"/>
        <v>20</v>
      </c>
      <c r="B21" s="4" t="s">
        <v>281</v>
      </c>
      <c r="C21" s="4" t="s">
        <v>287</v>
      </c>
      <c r="D21" s="4" t="s">
        <v>10</v>
      </c>
      <c r="E21" s="4" t="s">
        <v>182</v>
      </c>
      <c r="F21" s="5">
        <v>2.8</v>
      </c>
      <c r="G21" s="5">
        <v>3.0</v>
      </c>
      <c r="H21" s="6" t="s">
        <v>433</v>
      </c>
      <c r="I21" s="6"/>
      <c r="J21" s="6"/>
      <c r="K21" s="7"/>
      <c r="L21" s="7"/>
      <c r="M21" s="7"/>
      <c r="N21" s="7"/>
      <c r="O21" s="7"/>
      <c r="P21" s="7"/>
      <c r="Q21" s="7"/>
      <c r="U21" s="8" t="str">
        <f t="shared" si="1"/>
        <v/>
      </c>
      <c r="V21" s="8" t="str">
        <f t="shared" si="2"/>
        <v>#N/A</v>
      </c>
      <c r="W21" s="8">
        <f t="shared" si="3"/>
        <v>2.8</v>
      </c>
      <c r="X21" s="8">
        <f t="shared" si="4"/>
        <v>9</v>
      </c>
    </row>
    <row r="22">
      <c r="A22" s="4">
        <f t="shared" si="5"/>
        <v>21</v>
      </c>
      <c r="B22" s="4" t="s">
        <v>281</v>
      </c>
      <c r="C22" s="4" t="s">
        <v>285</v>
      </c>
      <c r="D22" s="4" t="s">
        <v>8</v>
      </c>
      <c r="E22" s="4" t="s">
        <v>30</v>
      </c>
      <c r="F22" s="5">
        <v>8.8</v>
      </c>
      <c r="G22" s="5">
        <v>1.0</v>
      </c>
      <c r="H22" s="7"/>
      <c r="I22" s="7"/>
      <c r="J22" s="7"/>
      <c r="K22" s="7"/>
      <c r="L22" s="7"/>
      <c r="M22" s="7"/>
      <c r="N22" s="7"/>
      <c r="O22" s="7"/>
      <c r="P22" s="7"/>
      <c r="Q22" s="7"/>
      <c r="U22" s="8">
        <f t="shared" si="1"/>
        <v>8.8</v>
      </c>
      <c r="V22" s="8">
        <f t="shared" si="2"/>
        <v>1</v>
      </c>
      <c r="W22" s="8" t="str">
        <f t="shared" si="3"/>
        <v/>
      </c>
      <c r="X22" s="8" t="str">
        <f t="shared" si="4"/>
        <v>#N/A</v>
      </c>
    </row>
    <row r="23">
      <c r="A23" s="4">
        <f t="shared" si="5"/>
        <v>22</v>
      </c>
      <c r="B23" s="4" t="s">
        <v>288</v>
      </c>
      <c r="C23" s="4" t="s">
        <v>287</v>
      </c>
      <c r="D23" s="4" t="s">
        <v>10</v>
      </c>
      <c r="E23" s="4" t="s">
        <v>292</v>
      </c>
      <c r="F23" s="5">
        <v>2.4</v>
      </c>
      <c r="G23" s="5">
        <v>2.0</v>
      </c>
      <c r="H23" s="7"/>
      <c r="I23" s="7"/>
      <c r="J23" s="7"/>
      <c r="K23" s="7"/>
      <c r="L23" s="7"/>
      <c r="M23" s="7"/>
      <c r="N23" s="7"/>
      <c r="O23" s="7"/>
      <c r="P23" s="7"/>
      <c r="Q23" s="7"/>
      <c r="U23" s="8" t="str">
        <f t="shared" si="1"/>
        <v/>
      </c>
      <c r="V23" s="8" t="str">
        <f t="shared" si="2"/>
        <v>#N/A</v>
      </c>
      <c r="W23" s="8">
        <f t="shared" si="3"/>
        <v>2.4</v>
      </c>
      <c r="X23" s="8">
        <f t="shared" si="4"/>
        <v>10</v>
      </c>
    </row>
    <row r="24">
      <c r="A24" s="4">
        <f t="shared" si="5"/>
        <v>23</v>
      </c>
      <c r="B24" s="4" t="s">
        <v>288</v>
      </c>
      <c r="C24" s="4" t="s">
        <v>281</v>
      </c>
      <c r="D24" s="4" t="s">
        <v>8</v>
      </c>
      <c r="E24" s="4" t="s">
        <v>434</v>
      </c>
      <c r="F24" s="5">
        <v>8.4</v>
      </c>
      <c r="G24" s="5">
        <v>1.0</v>
      </c>
      <c r="H24" s="7"/>
      <c r="I24" s="7"/>
      <c r="J24" s="7"/>
      <c r="K24" s="7"/>
      <c r="L24" s="7"/>
      <c r="M24" s="7"/>
      <c r="N24" s="7"/>
      <c r="O24" s="7"/>
      <c r="P24" s="7"/>
      <c r="Q24" s="7"/>
      <c r="U24" s="8">
        <f t="shared" si="1"/>
        <v>8.4</v>
      </c>
      <c r="V24" s="8">
        <f t="shared" si="2"/>
        <v>2</v>
      </c>
      <c r="W24" s="8" t="str">
        <f t="shared" si="3"/>
        <v/>
      </c>
      <c r="X24" s="8" t="str">
        <f t="shared" si="4"/>
        <v>#N/A</v>
      </c>
    </row>
    <row r="25">
      <c r="A25" s="4">
        <f t="shared" si="5"/>
        <v>24</v>
      </c>
      <c r="B25" s="4" t="s">
        <v>280</v>
      </c>
      <c r="C25" s="4" t="s">
        <v>280</v>
      </c>
      <c r="D25" s="4" t="s">
        <v>10</v>
      </c>
      <c r="E25" s="4" t="s">
        <v>209</v>
      </c>
      <c r="F25" s="5">
        <v>0.8</v>
      </c>
      <c r="G25" s="5">
        <v>3.0</v>
      </c>
      <c r="H25" s="13"/>
      <c r="I25" s="6"/>
      <c r="J25" s="6"/>
      <c r="K25" s="6"/>
      <c r="L25" s="7"/>
      <c r="M25" s="7"/>
      <c r="N25" s="7"/>
      <c r="O25" s="7"/>
      <c r="P25" s="7"/>
      <c r="Q25" s="7"/>
      <c r="U25" s="8" t="str">
        <f t="shared" si="1"/>
        <v/>
      </c>
      <c r="V25" s="8" t="str">
        <f t="shared" si="2"/>
        <v>#N/A</v>
      </c>
      <c r="W25" s="8">
        <f t="shared" si="3"/>
        <v>0.8</v>
      </c>
      <c r="X25" s="8">
        <f t="shared" si="4"/>
        <v>22</v>
      </c>
    </row>
    <row r="26">
      <c r="A26" s="4">
        <f t="shared" si="5"/>
        <v>25</v>
      </c>
      <c r="B26" s="4" t="s">
        <v>280</v>
      </c>
      <c r="C26" s="4" t="s">
        <v>280</v>
      </c>
      <c r="D26" s="4" t="s">
        <v>8</v>
      </c>
      <c r="E26" s="4" t="s">
        <v>241</v>
      </c>
      <c r="F26" s="5">
        <v>2.9</v>
      </c>
      <c r="G26" s="5">
        <v>1.0</v>
      </c>
      <c r="H26" s="7"/>
      <c r="I26" s="7"/>
      <c r="J26" s="7"/>
      <c r="K26" s="7"/>
      <c r="L26" s="7"/>
      <c r="M26" s="7"/>
      <c r="N26" s="7"/>
      <c r="O26" s="7"/>
      <c r="P26" s="7"/>
      <c r="Q26" s="7"/>
      <c r="U26" s="8">
        <f t="shared" si="1"/>
        <v>2.9</v>
      </c>
      <c r="V26" s="8">
        <f t="shared" si="2"/>
        <v>37</v>
      </c>
      <c r="W26" s="8" t="str">
        <f t="shared" si="3"/>
        <v/>
      </c>
      <c r="X26" s="8" t="str">
        <f t="shared" si="4"/>
        <v>#N/A</v>
      </c>
    </row>
    <row r="27">
      <c r="A27" s="4">
        <f t="shared" si="5"/>
        <v>26</v>
      </c>
      <c r="B27" s="4" t="s">
        <v>285</v>
      </c>
      <c r="C27" s="4" t="s">
        <v>281</v>
      </c>
      <c r="D27" s="4" t="s">
        <v>10</v>
      </c>
      <c r="E27" s="4" t="s">
        <v>87</v>
      </c>
      <c r="F27" s="5">
        <v>1.9</v>
      </c>
      <c r="G27" s="5">
        <v>3.0</v>
      </c>
      <c r="H27" s="6" t="s">
        <v>435</v>
      </c>
      <c r="I27" s="6"/>
      <c r="J27" s="6"/>
      <c r="K27" s="6"/>
      <c r="L27" s="7"/>
      <c r="M27" s="7"/>
      <c r="N27" s="7"/>
      <c r="O27" s="7"/>
      <c r="P27" s="7"/>
      <c r="Q27" s="7"/>
      <c r="U27" s="8" t="str">
        <f t="shared" si="1"/>
        <v/>
      </c>
      <c r="V27" s="8" t="str">
        <f t="shared" si="2"/>
        <v>#N/A</v>
      </c>
      <c r="W27" s="8">
        <f t="shared" si="3"/>
        <v>1.9</v>
      </c>
      <c r="X27" s="8">
        <f t="shared" si="4"/>
        <v>14</v>
      </c>
    </row>
    <row r="28">
      <c r="A28" s="4">
        <f t="shared" si="5"/>
        <v>27</v>
      </c>
      <c r="B28" s="4" t="s">
        <v>285</v>
      </c>
      <c r="C28" s="4" t="s">
        <v>273</v>
      </c>
      <c r="D28" s="4" t="s">
        <v>8</v>
      </c>
      <c r="E28" s="4" t="s">
        <v>92</v>
      </c>
      <c r="F28" s="5">
        <v>4.2</v>
      </c>
      <c r="G28" s="5">
        <v>1.0</v>
      </c>
      <c r="H28" s="7"/>
      <c r="I28" s="7"/>
      <c r="J28" s="7"/>
      <c r="K28" s="7"/>
      <c r="L28" s="7"/>
      <c r="M28" s="7"/>
      <c r="N28" s="7"/>
      <c r="O28" s="7"/>
      <c r="P28" s="7"/>
      <c r="Q28" s="7"/>
      <c r="U28" s="8">
        <f t="shared" si="1"/>
        <v>4.2</v>
      </c>
      <c r="V28" s="8">
        <f t="shared" si="2"/>
        <v>19</v>
      </c>
      <c r="W28" s="8" t="str">
        <f t="shared" si="3"/>
        <v/>
      </c>
      <c r="X28" s="8" t="str">
        <f t="shared" si="4"/>
        <v>#N/A</v>
      </c>
    </row>
    <row r="29">
      <c r="A29" s="4">
        <f t="shared" si="5"/>
        <v>28</v>
      </c>
      <c r="B29" s="4" t="s">
        <v>273</v>
      </c>
      <c r="C29" s="4" t="s">
        <v>284</v>
      </c>
      <c r="D29" s="4" t="s">
        <v>10</v>
      </c>
      <c r="E29" s="4" t="s">
        <v>66</v>
      </c>
      <c r="F29" s="5">
        <v>2.0</v>
      </c>
      <c r="G29" s="5">
        <v>3.0</v>
      </c>
      <c r="H29" s="6" t="s">
        <v>436</v>
      </c>
      <c r="I29" s="7"/>
      <c r="J29" s="7"/>
      <c r="K29" s="7"/>
      <c r="L29" s="7"/>
      <c r="M29" s="7"/>
      <c r="N29" s="7"/>
      <c r="O29" s="7"/>
      <c r="P29" s="7"/>
      <c r="Q29" s="7"/>
      <c r="U29" s="8" t="str">
        <f t="shared" si="1"/>
        <v/>
      </c>
      <c r="V29" s="8" t="str">
        <f t="shared" si="2"/>
        <v>#N/A</v>
      </c>
      <c r="W29" s="8">
        <f t="shared" si="3"/>
        <v>2</v>
      </c>
      <c r="X29" s="8">
        <f t="shared" si="4"/>
        <v>13</v>
      </c>
    </row>
    <row r="30">
      <c r="A30" s="4">
        <f t="shared" si="5"/>
        <v>29</v>
      </c>
      <c r="B30" s="4" t="s">
        <v>273</v>
      </c>
      <c r="C30" s="4" t="s">
        <v>287</v>
      </c>
      <c r="D30" s="4" t="s">
        <v>8</v>
      </c>
      <c r="E30" s="4" t="s">
        <v>437</v>
      </c>
      <c r="F30" s="5">
        <v>6.0</v>
      </c>
      <c r="G30" s="5">
        <v>1.0</v>
      </c>
      <c r="H30" s="7"/>
      <c r="I30" s="7"/>
      <c r="J30" s="7"/>
      <c r="K30" s="7"/>
      <c r="L30" s="7"/>
      <c r="M30" s="7"/>
      <c r="N30" s="7"/>
      <c r="O30" s="7"/>
      <c r="P30" s="7"/>
      <c r="Q30" s="7"/>
      <c r="U30" s="8">
        <f t="shared" si="1"/>
        <v>6</v>
      </c>
      <c r="V30" s="8">
        <f t="shared" si="2"/>
        <v>9</v>
      </c>
      <c r="W30" s="8" t="str">
        <f t="shared" si="3"/>
        <v/>
      </c>
      <c r="X30" s="8" t="str">
        <f t="shared" si="4"/>
        <v>#N/A</v>
      </c>
    </row>
    <row r="31">
      <c r="A31" s="4">
        <f t="shared" si="5"/>
        <v>30</v>
      </c>
      <c r="B31" s="4" t="s">
        <v>286</v>
      </c>
      <c r="C31" s="4" t="s">
        <v>293</v>
      </c>
      <c r="D31" s="4" t="s">
        <v>8</v>
      </c>
      <c r="E31" s="4" t="s">
        <v>296</v>
      </c>
      <c r="F31" s="5">
        <v>4.0</v>
      </c>
      <c r="G31" s="5">
        <v>2.0</v>
      </c>
      <c r="H31" s="7"/>
      <c r="I31" s="7"/>
      <c r="J31" s="7"/>
      <c r="K31" s="7"/>
      <c r="L31" s="7"/>
      <c r="M31" s="7"/>
      <c r="N31" s="7"/>
      <c r="O31" s="7"/>
      <c r="P31" s="7"/>
      <c r="Q31" s="7"/>
      <c r="U31" s="8">
        <f t="shared" si="1"/>
        <v>4</v>
      </c>
      <c r="V31" s="8">
        <f t="shared" si="2"/>
        <v>22</v>
      </c>
      <c r="W31" s="8" t="str">
        <f t="shared" si="3"/>
        <v/>
      </c>
      <c r="X31" s="8" t="str">
        <f t="shared" si="4"/>
        <v>#N/A</v>
      </c>
    </row>
    <row r="32">
      <c r="A32" s="4">
        <f t="shared" si="5"/>
        <v>31</v>
      </c>
      <c r="B32" s="4" t="s">
        <v>293</v>
      </c>
      <c r="C32" s="4" t="s">
        <v>284</v>
      </c>
      <c r="D32" s="4" t="s">
        <v>10</v>
      </c>
      <c r="E32" s="4" t="s">
        <v>153</v>
      </c>
      <c r="F32" s="5">
        <v>1.7</v>
      </c>
      <c r="G32" s="10">
        <v>2.0</v>
      </c>
      <c r="H32" s="7"/>
      <c r="I32" s="7"/>
      <c r="J32" s="7"/>
      <c r="K32" s="7"/>
      <c r="L32" s="7"/>
      <c r="M32" s="7"/>
      <c r="N32" s="7"/>
      <c r="O32" s="7"/>
      <c r="P32" s="7"/>
      <c r="Q32" s="7"/>
      <c r="U32" s="8" t="str">
        <f t="shared" si="1"/>
        <v/>
      </c>
      <c r="V32" s="8" t="str">
        <f t="shared" si="2"/>
        <v>#N/A</v>
      </c>
      <c r="W32" s="8">
        <f t="shared" si="3"/>
        <v>1.7</v>
      </c>
      <c r="X32" s="8">
        <f t="shared" si="4"/>
        <v>15</v>
      </c>
    </row>
    <row r="33">
      <c r="A33" s="4">
        <f t="shared" si="5"/>
        <v>32</v>
      </c>
      <c r="B33" s="4" t="s">
        <v>293</v>
      </c>
      <c r="C33" s="4" t="s">
        <v>294</v>
      </c>
      <c r="D33" s="4" t="s">
        <v>8</v>
      </c>
      <c r="E33" s="4" t="s">
        <v>120</v>
      </c>
      <c r="F33" s="5">
        <v>6.1</v>
      </c>
      <c r="G33" s="10">
        <v>1.0</v>
      </c>
      <c r="H33" s="13"/>
      <c r="I33" s="7"/>
      <c r="J33" s="7"/>
      <c r="K33" s="7"/>
      <c r="L33" s="7"/>
      <c r="M33" s="7"/>
      <c r="N33" s="7"/>
      <c r="O33" s="7"/>
      <c r="P33" s="7"/>
      <c r="Q33" s="7"/>
      <c r="U33" s="8">
        <f t="shared" si="1"/>
        <v>6.1</v>
      </c>
      <c r="V33" s="8">
        <f t="shared" si="2"/>
        <v>8</v>
      </c>
      <c r="W33" s="8" t="str">
        <f t="shared" si="3"/>
        <v/>
      </c>
      <c r="X33" s="8" t="str">
        <f t="shared" si="4"/>
        <v>#N/A</v>
      </c>
    </row>
    <row r="34">
      <c r="A34" s="4">
        <f t="shared" si="5"/>
        <v>33</v>
      </c>
      <c r="B34" s="4" t="s">
        <v>287</v>
      </c>
      <c r="C34" s="4" t="s">
        <v>294</v>
      </c>
      <c r="D34" s="4" t="s">
        <v>8</v>
      </c>
      <c r="E34" s="4" t="s">
        <v>68</v>
      </c>
      <c r="F34" s="5">
        <v>5.6</v>
      </c>
      <c r="G34" s="10">
        <v>1.0</v>
      </c>
      <c r="H34" s="7"/>
      <c r="I34" s="7"/>
      <c r="J34" s="7"/>
      <c r="K34" s="7"/>
      <c r="L34" s="7"/>
      <c r="M34" s="7"/>
      <c r="N34" s="7"/>
      <c r="O34" s="7"/>
      <c r="P34" s="7"/>
      <c r="Q34" s="7"/>
      <c r="U34" s="8">
        <f t="shared" si="1"/>
        <v>5.6</v>
      </c>
      <c r="V34" s="8">
        <f t="shared" si="2"/>
        <v>11</v>
      </c>
      <c r="W34" s="8" t="str">
        <f t="shared" si="3"/>
        <v/>
      </c>
      <c r="X34" s="8" t="str">
        <f t="shared" si="4"/>
        <v>#N/A</v>
      </c>
    </row>
    <row r="35">
      <c r="A35" s="4">
        <f t="shared" si="5"/>
        <v>34</v>
      </c>
      <c r="B35" s="4" t="s">
        <v>284</v>
      </c>
      <c r="C35" s="4" t="s">
        <v>288</v>
      </c>
      <c r="D35" s="4" t="s">
        <v>8</v>
      </c>
      <c r="E35" s="4" t="s">
        <v>173</v>
      </c>
      <c r="F35" s="5">
        <v>4.6</v>
      </c>
      <c r="G35" s="10">
        <v>1.0</v>
      </c>
      <c r="H35" s="7"/>
      <c r="I35" s="7"/>
      <c r="J35" s="7"/>
      <c r="K35" s="7"/>
      <c r="L35" s="7"/>
      <c r="M35" s="7"/>
      <c r="N35" s="7"/>
      <c r="O35" s="7"/>
      <c r="P35" s="7"/>
      <c r="Q35" s="7"/>
      <c r="U35" s="8">
        <f t="shared" si="1"/>
        <v>4.6</v>
      </c>
      <c r="V35" s="8">
        <f t="shared" si="2"/>
        <v>16</v>
      </c>
      <c r="W35" s="8" t="str">
        <f t="shared" si="3"/>
        <v/>
      </c>
      <c r="X35" s="8" t="str">
        <f t="shared" si="4"/>
        <v>#N/A</v>
      </c>
    </row>
    <row r="36">
      <c r="A36" s="4">
        <f t="shared" si="5"/>
        <v>35</v>
      </c>
      <c r="B36" s="4" t="s">
        <v>294</v>
      </c>
      <c r="C36" s="4" t="s">
        <v>285</v>
      </c>
      <c r="D36" s="4" t="s">
        <v>10</v>
      </c>
      <c r="E36" s="4" t="s">
        <v>438</v>
      </c>
      <c r="F36" s="5">
        <v>0.9</v>
      </c>
      <c r="G36" s="10">
        <v>3.0</v>
      </c>
      <c r="H36" s="7"/>
      <c r="I36" s="7"/>
      <c r="J36" s="7"/>
      <c r="K36" s="7"/>
      <c r="L36" s="7"/>
      <c r="M36" s="7"/>
      <c r="N36" s="7"/>
      <c r="O36" s="7"/>
      <c r="P36" s="7"/>
      <c r="Q36" s="7"/>
      <c r="U36" s="8" t="str">
        <f t="shared" si="1"/>
        <v/>
      </c>
      <c r="V36" s="8" t="str">
        <f t="shared" si="2"/>
        <v>#N/A</v>
      </c>
      <c r="W36" s="8">
        <f t="shared" si="3"/>
        <v>0.9</v>
      </c>
      <c r="X36" s="8">
        <f t="shared" si="4"/>
        <v>19</v>
      </c>
    </row>
    <row r="37">
      <c r="A37" s="4">
        <f t="shared" si="5"/>
        <v>36</v>
      </c>
      <c r="B37" s="4" t="s">
        <v>294</v>
      </c>
      <c r="C37" s="4" t="s">
        <v>293</v>
      </c>
      <c r="D37" s="4" t="s">
        <v>8</v>
      </c>
      <c r="E37" s="4" t="s">
        <v>226</v>
      </c>
      <c r="F37" s="5">
        <v>3.2</v>
      </c>
      <c r="G37" s="10">
        <v>1.0</v>
      </c>
      <c r="H37" s="7"/>
      <c r="I37" s="7"/>
      <c r="J37" s="7"/>
      <c r="K37" s="7"/>
      <c r="L37" s="7"/>
      <c r="M37" s="7"/>
      <c r="N37" s="7"/>
      <c r="O37" s="7"/>
      <c r="P37" s="7"/>
      <c r="Q37" s="7"/>
      <c r="U37" s="8">
        <f t="shared" si="1"/>
        <v>3.2</v>
      </c>
      <c r="V37" s="8">
        <f t="shared" si="2"/>
        <v>31</v>
      </c>
      <c r="W37" s="8" t="str">
        <f t="shared" si="3"/>
        <v/>
      </c>
      <c r="X37" s="8" t="str">
        <f t="shared" si="4"/>
        <v>#N/A</v>
      </c>
    </row>
    <row r="38">
      <c r="A38" s="4">
        <f t="shared" si="5"/>
        <v>37</v>
      </c>
      <c r="B38" s="4" t="s">
        <v>274</v>
      </c>
      <c r="C38" s="4" t="s">
        <v>274</v>
      </c>
      <c r="D38" s="4" t="s">
        <v>8</v>
      </c>
      <c r="E38" s="4" t="s">
        <v>147</v>
      </c>
      <c r="F38" s="5">
        <v>3.3</v>
      </c>
      <c r="G38" s="10">
        <v>1.0</v>
      </c>
      <c r="H38" s="7"/>
      <c r="I38" s="7"/>
      <c r="J38" s="7"/>
      <c r="K38" s="7"/>
      <c r="L38" s="7"/>
      <c r="M38" s="7"/>
      <c r="N38" s="7"/>
      <c r="O38" s="7"/>
      <c r="P38" s="7"/>
      <c r="Q38" s="7"/>
      <c r="U38" s="8">
        <f t="shared" si="1"/>
        <v>3.3</v>
      </c>
      <c r="V38" s="8">
        <f t="shared" si="2"/>
        <v>29</v>
      </c>
      <c r="W38" s="8" t="str">
        <f t="shared" si="3"/>
        <v/>
      </c>
      <c r="X38" s="8" t="str">
        <f t="shared" si="4"/>
        <v>#N/A</v>
      </c>
    </row>
    <row r="39">
      <c r="A39" s="4">
        <f t="shared" si="5"/>
        <v>38</v>
      </c>
      <c r="B39" s="4" t="s">
        <v>281</v>
      </c>
      <c r="C39" s="4" t="s">
        <v>285</v>
      </c>
      <c r="D39" s="4" t="s">
        <v>10</v>
      </c>
      <c r="E39" s="4" t="s">
        <v>439</v>
      </c>
      <c r="F39" s="5">
        <v>1.5</v>
      </c>
      <c r="G39" s="10">
        <v>3.0</v>
      </c>
      <c r="H39" s="7"/>
      <c r="I39" s="7"/>
      <c r="J39" s="7"/>
      <c r="K39" s="7"/>
      <c r="L39" s="7"/>
      <c r="M39" s="7"/>
      <c r="N39" s="7"/>
      <c r="O39" s="7"/>
      <c r="P39" s="7"/>
      <c r="Q39" s="7"/>
      <c r="U39" s="8" t="str">
        <f t="shared" si="1"/>
        <v/>
      </c>
      <c r="V39" s="8" t="str">
        <f t="shared" si="2"/>
        <v>#N/A</v>
      </c>
      <c r="W39" s="8">
        <f t="shared" si="3"/>
        <v>1.5</v>
      </c>
      <c r="X39" s="8">
        <f t="shared" si="4"/>
        <v>16</v>
      </c>
    </row>
    <row r="40">
      <c r="A40" s="4">
        <f t="shared" si="5"/>
        <v>39</v>
      </c>
      <c r="B40" s="4" t="s">
        <v>281</v>
      </c>
      <c r="C40" s="4" t="s">
        <v>280</v>
      </c>
      <c r="D40" s="4" t="s">
        <v>8</v>
      </c>
      <c r="E40" s="4" t="s">
        <v>84</v>
      </c>
      <c r="F40" s="5">
        <v>6.9</v>
      </c>
      <c r="G40" s="10">
        <v>1.0</v>
      </c>
      <c r="H40" s="7"/>
      <c r="I40" s="7"/>
      <c r="J40" s="7"/>
      <c r="K40" s="7"/>
      <c r="L40" s="7"/>
      <c r="M40" s="7"/>
      <c r="N40" s="7"/>
      <c r="O40" s="7"/>
      <c r="P40" s="7"/>
      <c r="Q40" s="7"/>
      <c r="U40" s="8">
        <f t="shared" si="1"/>
        <v>6.9</v>
      </c>
      <c r="V40" s="8">
        <f t="shared" si="2"/>
        <v>5</v>
      </c>
      <c r="W40" s="8" t="str">
        <f t="shared" si="3"/>
        <v/>
      </c>
      <c r="X40" s="8" t="str">
        <f t="shared" si="4"/>
        <v>#N/A</v>
      </c>
    </row>
    <row r="41">
      <c r="A41" s="4">
        <f t="shared" si="5"/>
        <v>40</v>
      </c>
      <c r="B41" s="4" t="s">
        <v>288</v>
      </c>
      <c r="C41" s="4" t="s">
        <v>286</v>
      </c>
      <c r="D41" s="4" t="s">
        <v>8</v>
      </c>
      <c r="E41" s="4" t="s">
        <v>333</v>
      </c>
      <c r="F41" s="5">
        <v>3.3</v>
      </c>
      <c r="G41" s="10">
        <v>1.0</v>
      </c>
      <c r="H41" s="7"/>
      <c r="I41" s="7"/>
      <c r="J41" s="7"/>
      <c r="K41" s="7"/>
      <c r="L41" s="7"/>
      <c r="M41" s="7"/>
      <c r="N41" s="7"/>
      <c r="O41" s="7"/>
      <c r="P41" s="7"/>
      <c r="Q41" s="7"/>
      <c r="U41" s="8">
        <f t="shared" si="1"/>
        <v>3.3</v>
      </c>
      <c r="V41" s="8">
        <f t="shared" si="2"/>
        <v>29</v>
      </c>
      <c r="W41" s="8" t="str">
        <f t="shared" si="3"/>
        <v/>
      </c>
      <c r="X41" s="8" t="str">
        <f t="shared" si="4"/>
        <v>#N/A</v>
      </c>
    </row>
    <row r="42">
      <c r="A42" s="4">
        <f t="shared" si="5"/>
        <v>41</v>
      </c>
      <c r="B42" s="4" t="s">
        <v>280</v>
      </c>
      <c r="C42" s="4" t="s">
        <v>280</v>
      </c>
      <c r="D42" s="4" t="s">
        <v>10</v>
      </c>
      <c r="E42" s="4" t="s">
        <v>149</v>
      </c>
      <c r="F42" s="5">
        <v>0.6</v>
      </c>
      <c r="G42" s="10">
        <v>1.0</v>
      </c>
      <c r="H42" s="7"/>
      <c r="I42" s="7"/>
      <c r="J42" s="7"/>
      <c r="K42" s="7"/>
      <c r="L42" s="7"/>
      <c r="M42" s="7"/>
      <c r="N42" s="7"/>
      <c r="O42" s="7"/>
      <c r="P42" s="7"/>
      <c r="Q42" s="7"/>
      <c r="U42" s="8" t="str">
        <f t="shared" si="1"/>
        <v/>
      </c>
      <c r="V42" s="8" t="str">
        <f t="shared" si="2"/>
        <v>#N/A</v>
      </c>
      <c r="W42" s="8">
        <f t="shared" si="3"/>
        <v>0.6</v>
      </c>
      <c r="X42" s="8">
        <f t="shared" si="4"/>
        <v>23</v>
      </c>
    </row>
    <row r="43">
      <c r="A43" s="4">
        <f t="shared" si="5"/>
        <v>42</v>
      </c>
      <c r="B43" s="4" t="s">
        <v>280</v>
      </c>
      <c r="C43" s="4" t="s">
        <v>281</v>
      </c>
      <c r="D43" s="4" t="s">
        <v>8</v>
      </c>
      <c r="E43" s="4" t="s">
        <v>216</v>
      </c>
      <c r="F43" s="5">
        <v>3.4</v>
      </c>
      <c r="G43" s="10">
        <v>1.0</v>
      </c>
      <c r="H43" s="7"/>
      <c r="I43" s="7"/>
      <c r="J43" s="7"/>
      <c r="K43" s="7"/>
      <c r="L43" s="7"/>
      <c r="M43" s="7"/>
      <c r="N43" s="7"/>
      <c r="O43" s="7"/>
      <c r="P43" s="7"/>
      <c r="Q43" s="7"/>
      <c r="U43" s="8">
        <f t="shared" si="1"/>
        <v>3.4</v>
      </c>
      <c r="V43" s="8">
        <f t="shared" si="2"/>
        <v>28</v>
      </c>
      <c r="W43" s="8" t="str">
        <f t="shared" si="3"/>
        <v/>
      </c>
      <c r="X43" s="8" t="str">
        <f t="shared" si="4"/>
        <v>#N/A</v>
      </c>
    </row>
    <row r="44">
      <c r="A44" s="4">
        <f t="shared" si="5"/>
        <v>43</v>
      </c>
      <c r="B44" s="4" t="s">
        <v>285</v>
      </c>
      <c r="C44" s="4" t="s">
        <v>286</v>
      </c>
      <c r="D44" s="4" t="s">
        <v>10</v>
      </c>
      <c r="E44" s="4" t="s">
        <v>125</v>
      </c>
      <c r="F44" s="5">
        <v>1.0</v>
      </c>
      <c r="G44" s="10">
        <v>2.0</v>
      </c>
      <c r="H44" s="13"/>
      <c r="I44" s="7"/>
      <c r="J44" s="7"/>
      <c r="K44" s="7"/>
      <c r="L44" s="7"/>
      <c r="M44" s="7"/>
      <c r="N44" s="7"/>
      <c r="O44" s="7"/>
      <c r="P44" s="7"/>
      <c r="Q44" s="7"/>
      <c r="U44" s="8" t="str">
        <f t="shared" si="1"/>
        <v/>
      </c>
      <c r="V44" s="8" t="str">
        <f t="shared" si="2"/>
        <v>#N/A</v>
      </c>
      <c r="W44" s="8">
        <f t="shared" si="3"/>
        <v>1</v>
      </c>
      <c r="X44" s="8">
        <f t="shared" si="4"/>
        <v>17</v>
      </c>
    </row>
    <row r="45">
      <c r="A45" s="4">
        <f t="shared" si="5"/>
        <v>44</v>
      </c>
      <c r="B45" s="4" t="s">
        <v>285</v>
      </c>
      <c r="C45" s="4" t="s">
        <v>284</v>
      </c>
      <c r="D45" s="4" t="s">
        <v>8</v>
      </c>
      <c r="E45" s="4" t="s">
        <v>440</v>
      </c>
      <c r="F45" s="5">
        <v>1.7</v>
      </c>
      <c r="G45" s="10">
        <v>1.0</v>
      </c>
      <c r="H45" s="7"/>
      <c r="I45" s="11"/>
      <c r="J45" s="7"/>
      <c r="K45" s="11"/>
      <c r="L45" s="7"/>
      <c r="M45" s="7"/>
      <c r="N45" s="7"/>
      <c r="O45" s="7"/>
      <c r="P45" s="7"/>
      <c r="Q45" s="7"/>
      <c r="U45" s="8">
        <f t="shared" si="1"/>
        <v>1.7</v>
      </c>
      <c r="V45" s="8">
        <f t="shared" si="2"/>
        <v>55</v>
      </c>
      <c r="W45" s="8" t="str">
        <f t="shared" si="3"/>
        <v/>
      </c>
      <c r="X45" s="8" t="str">
        <f t="shared" si="4"/>
        <v>#N/A</v>
      </c>
    </row>
    <row r="46">
      <c r="A46" s="4">
        <f t="shared" si="5"/>
        <v>45</v>
      </c>
      <c r="B46" s="4" t="s">
        <v>273</v>
      </c>
      <c r="C46" s="4" t="s">
        <v>293</v>
      </c>
      <c r="D46" s="4" t="s">
        <v>8</v>
      </c>
      <c r="E46" s="4" t="s">
        <v>298</v>
      </c>
      <c r="F46" s="5">
        <v>1.8</v>
      </c>
      <c r="G46" s="10">
        <v>1.0</v>
      </c>
      <c r="H46" s="13"/>
      <c r="I46" s="4"/>
      <c r="J46" s="7"/>
      <c r="K46" s="7"/>
      <c r="L46" s="7"/>
      <c r="M46" s="7"/>
      <c r="N46" s="7"/>
      <c r="O46" s="7"/>
      <c r="P46" s="7"/>
      <c r="Q46" s="7"/>
      <c r="U46" s="8">
        <f t="shared" si="1"/>
        <v>1.8</v>
      </c>
      <c r="V46" s="8">
        <f t="shared" si="2"/>
        <v>54</v>
      </c>
      <c r="W46" s="8" t="str">
        <f t="shared" si="3"/>
        <v/>
      </c>
      <c r="X46" s="8" t="str">
        <f t="shared" si="4"/>
        <v>#N/A</v>
      </c>
    </row>
    <row r="47">
      <c r="A47" s="4">
        <f t="shared" si="5"/>
        <v>46</v>
      </c>
      <c r="B47" s="4" t="s">
        <v>286</v>
      </c>
      <c r="C47" s="4" t="s">
        <v>286</v>
      </c>
      <c r="D47" s="4" t="s">
        <v>8</v>
      </c>
      <c r="E47" s="4" t="s">
        <v>398</v>
      </c>
      <c r="F47" s="5">
        <v>1.6</v>
      </c>
      <c r="G47" s="10">
        <v>1.0</v>
      </c>
      <c r="H47" s="7"/>
      <c r="I47" s="7"/>
      <c r="J47" s="7"/>
      <c r="K47" s="11"/>
      <c r="L47" s="11"/>
      <c r="M47" s="7"/>
      <c r="N47" s="7"/>
      <c r="O47" s="7"/>
      <c r="P47" s="7"/>
      <c r="Q47" s="7"/>
      <c r="U47" s="8">
        <f t="shared" si="1"/>
        <v>1.6</v>
      </c>
      <c r="V47" s="8">
        <f t="shared" si="2"/>
        <v>60</v>
      </c>
      <c r="W47" s="8" t="str">
        <f t="shared" si="3"/>
        <v/>
      </c>
      <c r="X47" s="8" t="str">
        <f t="shared" si="4"/>
        <v>#N/A</v>
      </c>
    </row>
    <row r="48">
      <c r="A48" s="4">
        <f t="shared" si="5"/>
        <v>47</v>
      </c>
      <c r="B48" s="4" t="s">
        <v>293</v>
      </c>
      <c r="C48" s="4" t="s">
        <v>294</v>
      </c>
      <c r="D48" s="4" t="s">
        <v>10</v>
      </c>
      <c r="E48" s="4" t="s">
        <v>138</v>
      </c>
      <c r="F48" s="5">
        <v>1.0</v>
      </c>
      <c r="G48" s="10">
        <v>3.0</v>
      </c>
      <c r="H48" s="4" t="s">
        <v>441</v>
      </c>
      <c r="I48" s="6"/>
      <c r="J48" s="7"/>
      <c r="K48" s="7"/>
      <c r="L48" s="7"/>
      <c r="M48" s="7"/>
      <c r="N48" s="7"/>
      <c r="O48" s="7"/>
      <c r="P48" s="7"/>
      <c r="Q48" s="7"/>
      <c r="U48" s="8" t="str">
        <f t="shared" si="1"/>
        <v/>
      </c>
      <c r="V48" s="8" t="str">
        <f t="shared" si="2"/>
        <v>#N/A</v>
      </c>
      <c r="W48" s="8">
        <f t="shared" si="3"/>
        <v>1</v>
      </c>
      <c r="X48" s="8">
        <f t="shared" si="4"/>
        <v>17</v>
      </c>
    </row>
    <row r="49">
      <c r="A49" s="4">
        <f t="shared" si="5"/>
        <v>48</v>
      </c>
      <c r="B49" s="4" t="s">
        <v>293</v>
      </c>
      <c r="C49" s="4" t="s">
        <v>285</v>
      </c>
      <c r="D49" s="4" t="s">
        <v>8</v>
      </c>
      <c r="E49" s="4" t="s">
        <v>79</v>
      </c>
      <c r="F49" s="5">
        <v>5.4</v>
      </c>
      <c r="G49" s="10">
        <v>1.0</v>
      </c>
      <c r="H49" s="7"/>
      <c r="I49" s="7"/>
      <c r="J49" s="7"/>
      <c r="K49" s="7"/>
      <c r="L49" s="7"/>
      <c r="M49" s="7"/>
      <c r="N49" s="7"/>
      <c r="O49" s="7"/>
      <c r="P49" s="7"/>
      <c r="Q49" s="7"/>
      <c r="U49" s="8">
        <f t="shared" si="1"/>
        <v>5.4</v>
      </c>
      <c r="V49" s="8">
        <f t="shared" si="2"/>
        <v>13</v>
      </c>
      <c r="W49" s="8" t="str">
        <f t="shared" si="3"/>
        <v/>
      </c>
      <c r="X49" s="8" t="str">
        <f t="shared" si="4"/>
        <v>#N/A</v>
      </c>
    </row>
    <row r="50">
      <c r="A50" s="4">
        <f t="shared" si="5"/>
        <v>49</v>
      </c>
      <c r="B50" s="4" t="s">
        <v>287</v>
      </c>
      <c r="C50" s="4" t="s">
        <v>273</v>
      </c>
      <c r="D50" s="4" t="s">
        <v>10</v>
      </c>
      <c r="E50" s="4" t="s">
        <v>303</v>
      </c>
      <c r="F50" s="5">
        <v>3.0</v>
      </c>
      <c r="G50" s="10">
        <v>2.0</v>
      </c>
      <c r="H50" s="4" t="s">
        <v>442</v>
      </c>
      <c r="I50" s="4"/>
      <c r="J50" s="4"/>
      <c r="K50" s="4"/>
      <c r="L50" s="7"/>
      <c r="M50" s="7"/>
      <c r="N50" s="7"/>
      <c r="O50" s="7"/>
      <c r="P50" s="7"/>
      <c r="Q50" s="7"/>
      <c r="U50" s="8" t="str">
        <f t="shared" si="1"/>
        <v/>
      </c>
      <c r="V50" s="8" t="str">
        <f t="shared" si="2"/>
        <v>#N/A</v>
      </c>
      <c r="W50" s="8">
        <f t="shared" si="3"/>
        <v>3</v>
      </c>
      <c r="X50" s="8">
        <f t="shared" si="4"/>
        <v>7</v>
      </c>
    </row>
    <row r="51">
      <c r="A51" s="4">
        <f t="shared" si="5"/>
        <v>50</v>
      </c>
      <c r="B51" s="4" t="s">
        <v>287</v>
      </c>
      <c r="C51" s="4" t="s">
        <v>273</v>
      </c>
      <c r="D51" s="4" t="s">
        <v>8</v>
      </c>
      <c r="E51" s="4" t="s">
        <v>97</v>
      </c>
      <c r="F51" s="5">
        <v>7.7</v>
      </c>
      <c r="G51" s="10">
        <v>1.0</v>
      </c>
      <c r="H51" s="7"/>
      <c r="I51" s="7"/>
      <c r="J51" s="7"/>
      <c r="K51" s="7"/>
      <c r="L51" s="7"/>
      <c r="M51" s="7"/>
      <c r="N51" s="7"/>
      <c r="O51" s="7"/>
      <c r="P51" s="7"/>
      <c r="Q51" s="7"/>
      <c r="U51" s="8">
        <f t="shared" si="1"/>
        <v>7.7</v>
      </c>
      <c r="V51" s="8">
        <f t="shared" si="2"/>
        <v>4</v>
      </c>
      <c r="W51" s="8" t="str">
        <f t="shared" si="3"/>
        <v/>
      </c>
      <c r="X51" s="8" t="str">
        <f t="shared" si="4"/>
        <v>#N/A</v>
      </c>
    </row>
    <row r="52">
      <c r="A52" s="4">
        <f t="shared" si="5"/>
        <v>51</v>
      </c>
      <c r="B52" s="4" t="s">
        <v>284</v>
      </c>
      <c r="C52" s="4" t="s">
        <v>285</v>
      </c>
      <c r="D52" s="4" t="s">
        <v>10</v>
      </c>
      <c r="E52" s="4" t="s">
        <v>443</v>
      </c>
      <c r="F52" s="5">
        <v>0.9</v>
      </c>
      <c r="G52" s="10">
        <v>2.0</v>
      </c>
      <c r="H52" s="13"/>
      <c r="I52" s="6"/>
      <c r="J52" s="7"/>
      <c r="K52" s="7"/>
      <c r="L52" s="7"/>
      <c r="M52" s="7"/>
      <c r="N52" s="7"/>
      <c r="O52" s="7"/>
      <c r="P52" s="7"/>
      <c r="Q52" s="7"/>
      <c r="U52" s="8" t="str">
        <f t="shared" si="1"/>
        <v/>
      </c>
      <c r="V52" s="8" t="str">
        <f t="shared" si="2"/>
        <v>#N/A</v>
      </c>
      <c r="W52" s="8">
        <f t="shared" si="3"/>
        <v>0.9</v>
      </c>
      <c r="X52" s="8">
        <f t="shared" si="4"/>
        <v>19</v>
      </c>
    </row>
    <row r="53">
      <c r="A53" s="4">
        <f t="shared" si="5"/>
        <v>52</v>
      </c>
      <c r="B53" s="4" t="s">
        <v>284</v>
      </c>
      <c r="C53" s="4" t="s">
        <v>284</v>
      </c>
      <c r="D53" s="4" t="s">
        <v>8</v>
      </c>
      <c r="E53" s="4" t="s">
        <v>94</v>
      </c>
      <c r="F53" s="5">
        <v>2.2</v>
      </c>
      <c r="G53" s="10">
        <v>1.0</v>
      </c>
      <c r="H53" s="7"/>
      <c r="I53" s="7"/>
      <c r="J53" s="7"/>
      <c r="K53" s="7"/>
      <c r="L53" s="7"/>
      <c r="M53" s="7"/>
      <c r="N53" s="7"/>
      <c r="O53" s="7"/>
      <c r="P53" s="7"/>
      <c r="Q53" s="7"/>
      <c r="U53" s="8">
        <f t="shared" si="1"/>
        <v>2.2</v>
      </c>
      <c r="V53" s="8">
        <f t="shared" si="2"/>
        <v>46</v>
      </c>
      <c r="W53" s="8" t="str">
        <f t="shared" si="3"/>
        <v/>
      </c>
      <c r="X53" s="8" t="str">
        <f t="shared" si="4"/>
        <v>#N/A</v>
      </c>
    </row>
    <row r="54">
      <c r="A54" s="4">
        <f t="shared" si="5"/>
        <v>53</v>
      </c>
      <c r="B54" s="4" t="s">
        <v>294</v>
      </c>
      <c r="C54" s="4" t="s">
        <v>287</v>
      </c>
      <c r="D54" s="4" t="s">
        <v>10</v>
      </c>
      <c r="E54" s="4" t="s">
        <v>231</v>
      </c>
      <c r="F54" s="5">
        <v>0.5</v>
      </c>
      <c r="G54" s="10">
        <v>1.0</v>
      </c>
      <c r="H54" s="7"/>
      <c r="I54" s="7"/>
      <c r="J54" s="7"/>
      <c r="K54" s="7"/>
      <c r="L54" s="7"/>
      <c r="M54" s="7"/>
      <c r="N54" s="7"/>
      <c r="O54" s="7"/>
      <c r="P54" s="7"/>
      <c r="Q54" s="7"/>
      <c r="U54" s="8" t="str">
        <f t="shared" si="1"/>
        <v/>
      </c>
      <c r="V54" s="8" t="str">
        <f t="shared" si="2"/>
        <v>#N/A</v>
      </c>
      <c r="W54" s="8">
        <f t="shared" si="3"/>
        <v>0.5</v>
      </c>
      <c r="X54" s="8">
        <f t="shared" si="4"/>
        <v>24</v>
      </c>
    </row>
    <row r="55">
      <c r="A55" s="4">
        <f t="shared" si="5"/>
        <v>54</v>
      </c>
      <c r="B55" s="4" t="s">
        <v>294</v>
      </c>
      <c r="C55" s="4" t="s">
        <v>293</v>
      </c>
      <c r="D55" s="4" t="s">
        <v>8</v>
      </c>
      <c r="E55" s="4" t="s">
        <v>155</v>
      </c>
      <c r="F55" s="5">
        <v>3.0</v>
      </c>
      <c r="G55" s="10">
        <v>1.0</v>
      </c>
      <c r="H55" s="7"/>
      <c r="I55" s="7"/>
      <c r="J55" s="7"/>
      <c r="K55" s="7"/>
      <c r="L55" s="7"/>
      <c r="M55" s="7"/>
      <c r="N55" s="7"/>
      <c r="O55" s="7"/>
      <c r="P55" s="7"/>
      <c r="Q55" s="7"/>
      <c r="U55" s="8">
        <f t="shared" si="1"/>
        <v>3</v>
      </c>
      <c r="V55" s="8">
        <f t="shared" si="2"/>
        <v>33</v>
      </c>
      <c r="W55" s="8" t="str">
        <f t="shared" si="3"/>
        <v/>
      </c>
      <c r="X55" s="8" t="str">
        <f t="shared" si="4"/>
        <v>#N/A</v>
      </c>
    </row>
    <row r="56">
      <c r="A56" s="4">
        <f t="shared" si="5"/>
        <v>55</v>
      </c>
      <c r="B56" s="4" t="s">
        <v>274</v>
      </c>
      <c r="C56" s="4" t="s">
        <v>288</v>
      </c>
      <c r="D56" s="4" t="s">
        <v>8</v>
      </c>
      <c r="E56" s="4" t="s">
        <v>58</v>
      </c>
      <c r="F56" s="5">
        <v>6.5</v>
      </c>
      <c r="G56" s="10">
        <v>1.0</v>
      </c>
      <c r="H56" s="7"/>
      <c r="I56" s="7"/>
      <c r="J56" s="7"/>
      <c r="K56" s="7"/>
      <c r="L56" s="7"/>
      <c r="M56" s="7"/>
      <c r="N56" s="7"/>
      <c r="O56" s="7"/>
      <c r="P56" s="7"/>
      <c r="Q56" s="7"/>
      <c r="U56" s="8">
        <f t="shared" si="1"/>
        <v>6.5</v>
      </c>
      <c r="V56" s="8">
        <f t="shared" si="2"/>
        <v>7</v>
      </c>
      <c r="W56" s="8" t="str">
        <f t="shared" si="3"/>
        <v/>
      </c>
      <c r="X56" s="8" t="str">
        <f t="shared" si="4"/>
        <v>#N/A</v>
      </c>
    </row>
    <row r="57">
      <c r="A57" s="4">
        <f t="shared" si="5"/>
        <v>56</v>
      </c>
      <c r="B57" s="4" t="s">
        <v>281</v>
      </c>
      <c r="C57" s="4" t="s">
        <v>288</v>
      </c>
      <c r="D57" s="4" t="s">
        <v>8</v>
      </c>
      <c r="E57" s="4" t="s">
        <v>106</v>
      </c>
      <c r="F57" s="5">
        <v>5.8</v>
      </c>
      <c r="G57" s="10">
        <v>2.0</v>
      </c>
      <c r="H57" s="7"/>
      <c r="I57" s="7"/>
      <c r="J57" s="7"/>
      <c r="K57" s="7"/>
      <c r="L57" s="7"/>
      <c r="M57" s="7"/>
      <c r="N57" s="7"/>
      <c r="O57" s="7"/>
      <c r="P57" s="7"/>
      <c r="Q57" s="7"/>
      <c r="U57" s="8">
        <f t="shared" si="1"/>
        <v>5.8</v>
      </c>
      <c r="V57" s="8">
        <f t="shared" si="2"/>
        <v>10</v>
      </c>
      <c r="W57" s="8" t="str">
        <f t="shared" si="3"/>
        <v/>
      </c>
      <c r="X57" s="8" t="str">
        <f t="shared" si="4"/>
        <v>#N/A</v>
      </c>
    </row>
    <row r="58">
      <c r="A58" s="4">
        <f t="shared" si="5"/>
        <v>57</v>
      </c>
      <c r="B58" s="4" t="s">
        <v>288</v>
      </c>
      <c r="C58" s="4" t="s">
        <v>280</v>
      </c>
      <c r="D58" s="4" t="s">
        <v>8</v>
      </c>
      <c r="E58" s="4" t="s">
        <v>208</v>
      </c>
      <c r="F58" s="5">
        <v>4.0</v>
      </c>
      <c r="G58" s="10">
        <v>1.0</v>
      </c>
      <c r="H58" s="7"/>
      <c r="I58" s="7"/>
      <c r="J58" s="7"/>
      <c r="K58" s="7"/>
      <c r="L58" s="7"/>
      <c r="M58" s="7"/>
      <c r="N58" s="7"/>
      <c r="O58" s="7"/>
      <c r="P58" s="7"/>
      <c r="Q58" s="7"/>
      <c r="U58" s="8">
        <f t="shared" si="1"/>
        <v>4</v>
      </c>
      <c r="V58" s="8">
        <f t="shared" si="2"/>
        <v>22</v>
      </c>
      <c r="W58" s="8" t="str">
        <f t="shared" si="3"/>
        <v/>
      </c>
      <c r="X58" s="8" t="str">
        <f t="shared" si="4"/>
        <v>#N/A</v>
      </c>
    </row>
    <row r="59">
      <c r="A59" s="4">
        <f t="shared" si="5"/>
        <v>58</v>
      </c>
      <c r="B59" s="4" t="s">
        <v>280</v>
      </c>
      <c r="C59" s="4" t="s">
        <v>285</v>
      </c>
      <c r="D59" s="4" t="s">
        <v>10</v>
      </c>
      <c r="E59" s="4" t="s">
        <v>444</v>
      </c>
      <c r="F59" s="5">
        <v>0.9</v>
      </c>
      <c r="G59" s="10">
        <v>3.0</v>
      </c>
      <c r="H59" s="7"/>
      <c r="I59" s="7"/>
      <c r="J59" s="7"/>
      <c r="K59" s="7"/>
      <c r="L59" s="7"/>
      <c r="M59" s="7"/>
      <c r="N59" s="7"/>
      <c r="O59" s="7"/>
      <c r="P59" s="7"/>
      <c r="Q59" s="7"/>
      <c r="U59" s="8" t="str">
        <f t="shared" si="1"/>
        <v/>
      </c>
      <c r="V59" s="8" t="str">
        <f t="shared" si="2"/>
        <v>#N/A</v>
      </c>
      <c r="W59" s="8">
        <f t="shared" si="3"/>
        <v>0.9</v>
      </c>
      <c r="X59" s="8">
        <f t="shared" si="4"/>
        <v>19</v>
      </c>
    </row>
    <row r="60">
      <c r="A60" s="4">
        <f t="shared" si="5"/>
        <v>59</v>
      </c>
      <c r="B60" s="4" t="s">
        <v>280</v>
      </c>
      <c r="C60" s="4" t="s">
        <v>286</v>
      </c>
      <c r="D60" s="4" t="s">
        <v>8</v>
      </c>
      <c r="E60" s="4" t="s">
        <v>445</v>
      </c>
      <c r="F60" s="5">
        <v>1.0</v>
      </c>
      <c r="G60" s="10">
        <v>1.0</v>
      </c>
      <c r="H60" s="7"/>
      <c r="I60" s="7"/>
      <c r="J60" s="7"/>
      <c r="K60" s="7"/>
      <c r="L60" s="7"/>
      <c r="M60" s="7"/>
      <c r="N60" s="7"/>
      <c r="O60" s="7"/>
      <c r="P60" s="7"/>
      <c r="Q60" s="7"/>
      <c r="U60" s="8">
        <f t="shared" si="1"/>
        <v>1</v>
      </c>
      <c r="V60" s="8">
        <f t="shared" si="2"/>
        <v>79</v>
      </c>
      <c r="W60" s="8" t="str">
        <f t="shared" si="3"/>
        <v/>
      </c>
      <c r="X60" s="8" t="str">
        <f t="shared" si="4"/>
        <v>#N/A</v>
      </c>
    </row>
    <row r="61">
      <c r="A61" s="4">
        <f t="shared" si="5"/>
        <v>60</v>
      </c>
      <c r="B61" s="4" t="s">
        <v>285</v>
      </c>
      <c r="C61" s="4" t="s">
        <v>274</v>
      </c>
      <c r="D61" s="4" t="s">
        <v>8</v>
      </c>
      <c r="E61" s="4" t="s">
        <v>232</v>
      </c>
      <c r="F61" s="5">
        <v>3.9</v>
      </c>
      <c r="G61" s="10">
        <v>2.0</v>
      </c>
      <c r="H61" s="7"/>
      <c r="I61" s="7"/>
      <c r="J61" s="7"/>
      <c r="K61" s="7"/>
      <c r="L61" s="7"/>
      <c r="M61" s="7"/>
      <c r="N61" s="7"/>
      <c r="O61" s="7"/>
      <c r="P61" s="7"/>
      <c r="Q61" s="7"/>
      <c r="U61" s="8">
        <f t="shared" si="1"/>
        <v>3.9</v>
      </c>
      <c r="V61" s="8">
        <f t="shared" si="2"/>
        <v>25</v>
      </c>
      <c r="W61" s="8" t="str">
        <f t="shared" si="3"/>
        <v/>
      </c>
      <c r="X61" s="8" t="str">
        <f t="shared" si="4"/>
        <v>#N/A</v>
      </c>
    </row>
    <row r="62">
      <c r="A62" s="4">
        <f t="shared" si="5"/>
        <v>61</v>
      </c>
      <c r="B62" s="4" t="s">
        <v>273</v>
      </c>
      <c r="C62" s="4" t="s">
        <v>280</v>
      </c>
      <c r="D62" s="4" t="s">
        <v>8</v>
      </c>
      <c r="E62" s="4" t="s">
        <v>331</v>
      </c>
      <c r="F62" s="5">
        <v>0.8</v>
      </c>
      <c r="G62" s="10">
        <v>1.0</v>
      </c>
      <c r="H62" s="13"/>
      <c r="I62" s="7"/>
      <c r="J62" s="7"/>
      <c r="K62" s="7"/>
      <c r="L62" s="7"/>
      <c r="M62" s="7"/>
      <c r="N62" s="7"/>
      <c r="O62" s="7"/>
      <c r="P62" s="7"/>
      <c r="Q62" s="7"/>
      <c r="U62" s="8">
        <f t="shared" si="1"/>
        <v>0.8</v>
      </c>
      <c r="V62" s="8">
        <f t="shared" si="2"/>
        <v>91</v>
      </c>
      <c r="W62" s="8" t="str">
        <f t="shared" si="3"/>
        <v/>
      </c>
      <c r="X62" s="8" t="str">
        <f t="shared" si="4"/>
        <v>#N/A</v>
      </c>
    </row>
    <row r="63">
      <c r="A63" s="4">
        <f t="shared" si="5"/>
        <v>62</v>
      </c>
      <c r="B63" s="4" t="s">
        <v>286</v>
      </c>
      <c r="C63" s="4" t="s">
        <v>294</v>
      </c>
      <c r="D63" s="4" t="s">
        <v>8</v>
      </c>
      <c r="E63" s="4" t="s">
        <v>336</v>
      </c>
      <c r="F63" s="5">
        <v>1.2</v>
      </c>
      <c r="G63" s="10">
        <v>1.0</v>
      </c>
      <c r="H63" s="7"/>
      <c r="I63" s="7"/>
      <c r="J63" s="7"/>
      <c r="K63" s="7"/>
      <c r="L63" s="7"/>
      <c r="M63" s="7"/>
      <c r="N63" s="7"/>
      <c r="O63" s="7"/>
      <c r="P63" s="7"/>
      <c r="Q63" s="7"/>
      <c r="U63" s="8">
        <f t="shared" si="1"/>
        <v>1.2</v>
      </c>
      <c r="V63" s="8">
        <f t="shared" si="2"/>
        <v>69</v>
      </c>
      <c r="W63" s="8" t="str">
        <f t="shared" si="3"/>
        <v/>
      </c>
      <c r="X63" s="8" t="str">
        <f t="shared" si="4"/>
        <v>#N/A</v>
      </c>
    </row>
    <row r="64">
      <c r="A64" s="4">
        <f t="shared" si="5"/>
        <v>63</v>
      </c>
      <c r="B64" s="4" t="s">
        <v>293</v>
      </c>
      <c r="C64" s="4" t="s">
        <v>293</v>
      </c>
      <c r="D64" s="4" t="s">
        <v>8</v>
      </c>
      <c r="E64" s="4" t="s">
        <v>154</v>
      </c>
      <c r="F64" s="5">
        <v>3.8</v>
      </c>
      <c r="G64" s="10">
        <v>1.0</v>
      </c>
      <c r="H64" s="7"/>
      <c r="I64" s="7"/>
      <c r="J64" s="7"/>
      <c r="K64" s="7"/>
      <c r="L64" s="7"/>
      <c r="M64" s="7"/>
      <c r="N64" s="7"/>
      <c r="O64" s="7"/>
      <c r="P64" s="7"/>
      <c r="Q64" s="7"/>
      <c r="U64" s="8">
        <f t="shared" si="1"/>
        <v>3.8</v>
      </c>
      <c r="V64" s="8">
        <f t="shared" si="2"/>
        <v>26</v>
      </c>
      <c r="W64" s="8" t="str">
        <f t="shared" si="3"/>
        <v/>
      </c>
      <c r="X64" s="8" t="str">
        <f t="shared" si="4"/>
        <v>#N/A</v>
      </c>
    </row>
    <row r="65">
      <c r="A65" s="4">
        <f t="shared" si="5"/>
        <v>64</v>
      </c>
      <c r="B65" s="4" t="s">
        <v>287</v>
      </c>
      <c r="C65" s="4" t="s">
        <v>274</v>
      </c>
      <c r="D65" s="4" t="s">
        <v>8</v>
      </c>
      <c r="E65" s="4" t="s">
        <v>404</v>
      </c>
      <c r="F65" s="5">
        <v>1.6</v>
      </c>
      <c r="G65" s="10">
        <v>1.0</v>
      </c>
      <c r="H65" s="7"/>
      <c r="I65" s="7"/>
      <c r="J65" s="7"/>
      <c r="K65" s="7"/>
      <c r="L65" s="7"/>
      <c r="M65" s="7"/>
      <c r="N65" s="7"/>
      <c r="O65" s="7"/>
      <c r="P65" s="7"/>
      <c r="Q65" s="7"/>
      <c r="U65" s="8">
        <f t="shared" si="1"/>
        <v>1.6</v>
      </c>
      <c r="V65" s="8">
        <f t="shared" si="2"/>
        <v>60</v>
      </c>
      <c r="W65" s="8" t="str">
        <f t="shared" si="3"/>
        <v/>
      </c>
      <c r="X65" s="8" t="str">
        <f t="shared" si="4"/>
        <v>#N/A</v>
      </c>
    </row>
    <row r="66">
      <c r="A66" s="4">
        <f t="shared" si="5"/>
        <v>65</v>
      </c>
      <c r="B66" s="4" t="s">
        <v>284</v>
      </c>
      <c r="C66" s="4" t="s">
        <v>281</v>
      </c>
      <c r="D66" s="4" t="s">
        <v>8</v>
      </c>
      <c r="E66" s="4" t="s">
        <v>40</v>
      </c>
      <c r="F66" s="5">
        <v>2.4</v>
      </c>
      <c r="G66" s="10">
        <v>1.0</v>
      </c>
      <c r="H66" s="7"/>
      <c r="I66" s="7"/>
      <c r="J66" s="7"/>
      <c r="K66" s="7"/>
      <c r="L66" s="7"/>
      <c r="M66" s="7"/>
      <c r="N66" s="7"/>
      <c r="O66" s="7"/>
      <c r="P66" s="7"/>
      <c r="Q66" s="7"/>
      <c r="U66" s="8">
        <f t="shared" si="1"/>
        <v>2.4</v>
      </c>
      <c r="V66" s="8">
        <f t="shared" si="2"/>
        <v>42</v>
      </c>
      <c r="W66" s="8" t="str">
        <f t="shared" si="3"/>
        <v/>
      </c>
      <c r="X66" s="8" t="str">
        <f t="shared" si="4"/>
        <v>#N/A</v>
      </c>
    </row>
    <row r="67">
      <c r="A67" s="4">
        <f t="shared" si="5"/>
        <v>66</v>
      </c>
      <c r="B67" s="4" t="s">
        <v>294</v>
      </c>
      <c r="C67" s="4" t="s">
        <v>287</v>
      </c>
      <c r="D67" s="4" t="s">
        <v>8</v>
      </c>
      <c r="E67" s="4" t="s">
        <v>119</v>
      </c>
      <c r="F67" s="5">
        <v>1.2</v>
      </c>
      <c r="G67" s="10">
        <v>1.0</v>
      </c>
      <c r="H67" s="7"/>
      <c r="I67" s="12"/>
      <c r="J67" s="7"/>
      <c r="K67" s="7"/>
      <c r="L67" s="7"/>
      <c r="M67" s="7"/>
      <c r="N67" s="7"/>
      <c r="O67" s="7"/>
      <c r="P67" s="7"/>
      <c r="Q67" s="7"/>
      <c r="U67" s="8">
        <f t="shared" si="1"/>
        <v>1.2</v>
      </c>
      <c r="V67" s="8">
        <f t="shared" si="2"/>
        <v>69</v>
      </c>
      <c r="W67" s="8" t="str">
        <f t="shared" si="3"/>
        <v/>
      </c>
      <c r="X67" s="8" t="str">
        <f t="shared" si="4"/>
        <v>#N/A</v>
      </c>
    </row>
    <row r="68">
      <c r="A68" s="4">
        <f t="shared" si="5"/>
        <v>67</v>
      </c>
      <c r="B68" s="4" t="s">
        <v>274</v>
      </c>
      <c r="C68" s="4" t="s">
        <v>274</v>
      </c>
      <c r="D68" s="4" t="s">
        <v>8</v>
      </c>
      <c r="E68" s="4" t="s">
        <v>234</v>
      </c>
      <c r="F68" s="5">
        <v>3.8</v>
      </c>
      <c r="G68" s="10">
        <v>1.0</v>
      </c>
      <c r="H68" s="7"/>
      <c r="I68" s="7"/>
      <c r="J68" s="7"/>
      <c r="K68" s="7"/>
      <c r="L68" s="7"/>
      <c r="M68" s="7"/>
      <c r="N68" s="7"/>
      <c r="O68" s="7"/>
      <c r="P68" s="7"/>
      <c r="Q68" s="7"/>
      <c r="U68" s="8">
        <f t="shared" si="1"/>
        <v>3.8</v>
      </c>
      <c r="V68" s="8">
        <f t="shared" si="2"/>
        <v>26</v>
      </c>
      <c r="W68" s="8" t="str">
        <f t="shared" si="3"/>
        <v/>
      </c>
      <c r="X68" s="8" t="str">
        <f t="shared" si="4"/>
        <v>#N/A</v>
      </c>
    </row>
    <row r="69">
      <c r="A69" s="4">
        <f t="shared" si="5"/>
        <v>68</v>
      </c>
      <c r="B69" s="4" t="s">
        <v>281</v>
      </c>
      <c r="C69" s="4" t="s">
        <v>287</v>
      </c>
      <c r="D69" s="4" t="s">
        <v>8</v>
      </c>
      <c r="E69" s="4" t="s">
        <v>396</v>
      </c>
      <c r="F69" s="5">
        <v>4.2</v>
      </c>
      <c r="G69" s="10">
        <v>1.0</v>
      </c>
      <c r="H69" s="7"/>
      <c r="I69" s="7"/>
      <c r="J69" s="7"/>
      <c r="K69" s="7"/>
      <c r="L69" s="7"/>
      <c r="M69" s="7"/>
      <c r="N69" s="7"/>
      <c r="O69" s="7"/>
      <c r="P69" s="7"/>
      <c r="Q69" s="7"/>
      <c r="U69" s="8">
        <f t="shared" si="1"/>
        <v>4.2</v>
      </c>
      <c r="V69" s="8">
        <f t="shared" si="2"/>
        <v>19</v>
      </c>
      <c r="W69" s="8" t="str">
        <f t="shared" si="3"/>
        <v/>
      </c>
      <c r="X69" s="8" t="str">
        <f t="shared" si="4"/>
        <v>#N/A</v>
      </c>
    </row>
    <row r="70">
      <c r="A70" s="4">
        <f t="shared" si="5"/>
        <v>69</v>
      </c>
      <c r="B70" s="4" t="s">
        <v>288</v>
      </c>
      <c r="C70" s="4" t="s">
        <v>293</v>
      </c>
      <c r="D70" s="4" t="s">
        <v>8</v>
      </c>
      <c r="E70" s="4" t="s">
        <v>171</v>
      </c>
      <c r="F70" s="5">
        <v>3.1</v>
      </c>
      <c r="G70" s="10">
        <v>1.0</v>
      </c>
      <c r="H70" s="7"/>
      <c r="I70" s="7"/>
      <c r="J70" s="7"/>
      <c r="K70" s="7"/>
      <c r="L70" s="7"/>
      <c r="M70" s="7"/>
      <c r="N70" s="7"/>
      <c r="O70" s="7"/>
      <c r="P70" s="7"/>
      <c r="Q70" s="7"/>
      <c r="U70" s="8">
        <f t="shared" si="1"/>
        <v>3.1</v>
      </c>
      <c r="V70" s="8">
        <f t="shared" si="2"/>
        <v>32</v>
      </c>
      <c r="W70" s="8" t="str">
        <f t="shared" si="3"/>
        <v/>
      </c>
      <c r="X70" s="8" t="str">
        <f t="shared" si="4"/>
        <v>#N/A</v>
      </c>
    </row>
    <row r="71">
      <c r="A71" s="4">
        <f t="shared" si="5"/>
        <v>70</v>
      </c>
      <c r="B71" s="4" t="s">
        <v>280</v>
      </c>
      <c r="C71" s="4" t="s">
        <v>285</v>
      </c>
      <c r="D71" s="4" t="s">
        <v>8</v>
      </c>
      <c r="E71" s="4" t="s">
        <v>210</v>
      </c>
      <c r="F71" s="5">
        <v>1.2</v>
      </c>
      <c r="G71" s="10">
        <v>1.0</v>
      </c>
      <c r="H71" s="7"/>
      <c r="I71" s="7"/>
      <c r="J71" s="7"/>
      <c r="K71" s="7"/>
      <c r="L71" s="7"/>
      <c r="M71" s="7"/>
      <c r="N71" s="7"/>
      <c r="O71" s="7"/>
      <c r="P71" s="7"/>
      <c r="Q71" s="7"/>
      <c r="U71" s="8">
        <f t="shared" si="1"/>
        <v>1.2</v>
      </c>
      <c r="V71" s="8">
        <f t="shared" si="2"/>
        <v>69</v>
      </c>
      <c r="W71" s="8" t="str">
        <f t="shared" si="3"/>
        <v/>
      </c>
      <c r="X71" s="8" t="str">
        <f t="shared" si="4"/>
        <v>#N/A</v>
      </c>
    </row>
    <row r="72">
      <c r="A72" s="4">
        <f t="shared" si="5"/>
        <v>71</v>
      </c>
      <c r="B72" s="4" t="s">
        <v>285</v>
      </c>
      <c r="C72" s="4" t="s">
        <v>286</v>
      </c>
      <c r="D72" s="4" t="s">
        <v>8</v>
      </c>
      <c r="E72" s="4" t="s">
        <v>420</v>
      </c>
      <c r="F72" s="5">
        <v>2.2</v>
      </c>
      <c r="G72" s="10">
        <v>1.0</v>
      </c>
      <c r="H72" s="7"/>
      <c r="I72" s="7"/>
      <c r="J72" s="7"/>
      <c r="K72" s="7"/>
      <c r="L72" s="7"/>
      <c r="M72" s="7"/>
      <c r="N72" s="7"/>
      <c r="O72" s="7"/>
      <c r="P72" s="7"/>
      <c r="Q72" s="7"/>
      <c r="U72" s="8">
        <f t="shared" si="1"/>
        <v>2.2</v>
      </c>
      <c r="V72" s="8">
        <f t="shared" si="2"/>
        <v>46</v>
      </c>
      <c r="W72" s="8" t="str">
        <f t="shared" si="3"/>
        <v/>
      </c>
      <c r="X72" s="8" t="str">
        <f t="shared" si="4"/>
        <v>#N/A</v>
      </c>
    </row>
    <row r="73">
      <c r="A73" s="4">
        <f t="shared" si="5"/>
        <v>72</v>
      </c>
      <c r="B73" s="4" t="s">
        <v>273</v>
      </c>
      <c r="C73" s="4" t="s">
        <v>286</v>
      </c>
      <c r="D73" s="4" t="s">
        <v>8</v>
      </c>
      <c r="E73" s="4" t="s">
        <v>121</v>
      </c>
      <c r="F73" s="5">
        <v>0.9</v>
      </c>
      <c r="G73" s="10">
        <v>1.0</v>
      </c>
      <c r="H73" s="7"/>
      <c r="I73" s="7"/>
      <c r="J73" s="7"/>
      <c r="K73" s="7"/>
      <c r="L73" s="7"/>
      <c r="M73" s="7"/>
      <c r="N73" s="7"/>
      <c r="O73" s="7"/>
      <c r="P73" s="7"/>
      <c r="Q73" s="7"/>
      <c r="U73" s="8">
        <f t="shared" si="1"/>
        <v>0.9</v>
      </c>
      <c r="V73" s="8">
        <f t="shared" si="2"/>
        <v>85</v>
      </c>
      <c r="W73" s="8" t="str">
        <f t="shared" si="3"/>
        <v/>
      </c>
      <c r="X73" s="8" t="str">
        <f t="shared" si="4"/>
        <v>#N/A</v>
      </c>
    </row>
    <row r="74">
      <c r="A74" s="4">
        <f t="shared" si="5"/>
        <v>73</v>
      </c>
      <c r="B74" s="4" t="s">
        <v>286</v>
      </c>
      <c r="C74" s="4" t="s">
        <v>285</v>
      </c>
      <c r="D74" s="4" t="s">
        <v>8</v>
      </c>
      <c r="E74" s="4" t="s">
        <v>89</v>
      </c>
      <c r="F74" s="5">
        <v>2.8</v>
      </c>
      <c r="G74" s="10">
        <v>2.0</v>
      </c>
      <c r="H74" s="7"/>
      <c r="I74" s="7"/>
      <c r="J74" s="7"/>
      <c r="K74" s="7"/>
      <c r="L74" s="7"/>
      <c r="M74" s="7"/>
      <c r="N74" s="7"/>
      <c r="O74" s="7"/>
      <c r="P74" s="7"/>
      <c r="Q74" s="7"/>
      <c r="U74" s="8">
        <f t="shared" si="1"/>
        <v>2.8</v>
      </c>
      <c r="V74" s="8">
        <f t="shared" si="2"/>
        <v>39</v>
      </c>
      <c r="W74" s="8" t="str">
        <f t="shared" si="3"/>
        <v/>
      </c>
      <c r="X74" s="8" t="str">
        <f t="shared" si="4"/>
        <v>#N/A</v>
      </c>
    </row>
    <row r="75">
      <c r="A75" s="4">
        <f t="shared" si="5"/>
        <v>74</v>
      </c>
      <c r="B75" s="4" t="s">
        <v>293</v>
      </c>
      <c r="C75" s="4" t="s">
        <v>285</v>
      </c>
      <c r="D75" s="4" t="s">
        <v>8</v>
      </c>
      <c r="E75" s="4" t="s">
        <v>390</v>
      </c>
      <c r="F75" s="5">
        <v>2.7</v>
      </c>
      <c r="G75" s="10">
        <v>1.0</v>
      </c>
      <c r="H75" s="7"/>
      <c r="I75" s="7"/>
      <c r="J75" s="7"/>
      <c r="K75" s="7"/>
      <c r="L75" s="7"/>
      <c r="M75" s="7"/>
      <c r="N75" s="7"/>
      <c r="O75" s="7"/>
      <c r="P75" s="7"/>
      <c r="Q75" s="7"/>
      <c r="U75" s="8">
        <f t="shared" si="1"/>
        <v>2.7</v>
      </c>
      <c r="V75" s="8">
        <f t="shared" si="2"/>
        <v>40</v>
      </c>
      <c r="W75" s="8" t="str">
        <f t="shared" si="3"/>
        <v/>
      </c>
      <c r="X75" s="8" t="str">
        <f t="shared" si="4"/>
        <v>#N/A</v>
      </c>
    </row>
    <row r="76">
      <c r="A76" s="4">
        <f t="shared" si="5"/>
        <v>75</v>
      </c>
      <c r="B76" s="4" t="s">
        <v>287</v>
      </c>
      <c r="C76" s="4" t="s">
        <v>273</v>
      </c>
      <c r="D76" s="4" t="s">
        <v>8</v>
      </c>
      <c r="E76" s="4" t="s">
        <v>400</v>
      </c>
      <c r="F76" s="5">
        <v>1.0</v>
      </c>
      <c r="G76" s="10">
        <v>1.0</v>
      </c>
      <c r="H76" s="7"/>
      <c r="I76" s="7"/>
      <c r="J76" s="7"/>
      <c r="K76" s="7"/>
      <c r="L76" s="7"/>
      <c r="M76" s="7"/>
      <c r="N76" s="7"/>
      <c r="O76" s="7"/>
      <c r="P76" s="7"/>
      <c r="Q76" s="7"/>
      <c r="U76" s="8">
        <f t="shared" si="1"/>
        <v>1</v>
      </c>
      <c r="V76" s="8">
        <f t="shared" si="2"/>
        <v>79</v>
      </c>
      <c r="W76" s="8" t="str">
        <f t="shared" si="3"/>
        <v/>
      </c>
      <c r="X76" s="8" t="str">
        <f t="shared" si="4"/>
        <v>#N/A</v>
      </c>
    </row>
    <row r="77">
      <c r="A77" s="4">
        <f t="shared" si="5"/>
        <v>76</v>
      </c>
      <c r="B77" s="4" t="s">
        <v>284</v>
      </c>
      <c r="C77" s="4" t="s">
        <v>284</v>
      </c>
      <c r="D77" s="4" t="s">
        <v>8</v>
      </c>
      <c r="E77" s="4" t="s">
        <v>340</v>
      </c>
      <c r="F77" s="5">
        <v>2.7</v>
      </c>
      <c r="G77" s="10">
        <v>1.0</v>
      </c>
      <c r="H77" s="7"/>
      <c r="I77" s="7"/>
      <c r="J77" s="7"/>
      <c r="K77" s="7"/>
      <c r="L77" s="7"/>
      <c r="M77" s="7"/>
      <c r="N77" s="7"/>
      <c r="O77" s="7"/>
      <c r="P77" s="7"/>
      <c r="Q77" s="7"/>
      <c r="U77" s="8">
        <f t="shared" si="1"/>
        <v>2.7</v>
      </c>
      <c r="V77" s="8">
        <f t="shared" si="2"/>
        <v>40</v>
      </c>
      <c r="W77" s="8" t="str">
        <f t="shared" si="3"/>
        <v/>
      </c>
      <c r="X77" s="8" t="str">
        <f t="shared" si="4"/>
        <v>#N/A</v>
      </c>
    </row>
    <row r="78">
      <c r="A78" s="4">
        <f t="shared" si="5"/>
        <v>77</v>
      </c>
      <c r="B78" s="4" t="s">
        <v>294</v>
      </c>
      <c r="C78" s="4" t="s">
        <v>285</v>
      </c>
      <c r="D78" s="4" t="s">
        <v>8</v>
      </c>
      <c r="E78" s="4" t="s">
        <v>96</v>
      </c>
      <c r="F78" s="5">
        <v>3.0</v>
      </c>
      <c r="G78" s="10">
        <v>1.0</v>
      </c>
      <c r="H78" s="7"/>
      <c r="I78" s="7"/>
      <c r="J78" s="7"/>
      <c r="K78" s="7"/>
      <c r="L78" s="7"/>
      <c r="M78" s="7"/>
      <c r="N78" s="7"/>
      <c r="O78" s="7"/>
      <c r="P78" s="7"/>
      <c r="Q78" s="7"/>
      <c r="U78" s="8">
        <f t="shared" si="1"/>
        <v>3</v>
      </c>
      <c r="V78" s="8">
        <f t="shared" si="2"/>
        <v>33</v>
      </c>
      <c r="W78" s="8" t="str">
        <f t="shared" si="3"/>
        <v/>
      </c>
      <c r="X78" s="8" t="str">
        <f t="shared" si="4"/>
        <v>#N/A</v>
      </c>
    </row>
    <row r="79">
      <c r="A79" s="4">
        <f t="shared" si="5"/>
        <v>78</v>
      </c>
      <c r="B79" s="4" t="s">
        <v>281</v>
      </c>
      <c r="C79" s="4" t="s">
        <v>286</v>
      </c>
      <c r="D79" s="4" t="s">
        <v>8</v>
      </c>
      <c r="E79" s="4" t="s">
        <v>323</v>
      </c>
      <c r="F79" s="5">
        <v>2.2</v>
      </c>
      <c r="G79" s="10">
        <v>1.0</v>
      </c>
      <c r="H79" s="7"/>
      <c r="I79" s="7"/>
      <c r="J79" s="7"/>
      <c r="K79" s="7"/>
      <c r="L79" s="7"/>
      <c r="M79" s="7"/>
      <c r="N79" s="7"/>
      <c r="O79" s="7"/>
      <c r="P79" s="7"/>
      <c r="Q79" s="7"/>
      <c r="U79" s="8">
        <f t="shared" si="1"/>
        <v>2.2</v>
      </c>
      <c r="V79" s="8">
        <f t="shared" si="2"/>
        <v>46</v>
      </c>
      <c r="W79" s="8" t="str">
        <f t="shared" si="3"/>
        <v/>
      </c>
      <c r="X79" s="8" t="str">
        <f t="shared" si="4"/>
        <v>#N/A</v>
      </c>
    </row>
    <row r="80">
      <c r="A80" s="4">
        <f t="shared" si="5"/>
        <v>79</v>
      </c>
      <c r="B80" s="4" t="s">
        <v>288</v>
      </c>
      <c r="C80" s="4" t="s">
        <v>280</v>
      </c>
      <c r="D80" s="4" t="s">
        <v>8</v>
      </c>
      <c r="E80" s="4" t="s">
        <v>140</v>
      </c>
      <c r="F80" s="5">
        <v>2.3</v>
      </c>
      <c r="G80" s="10">
        <v>1.0</v>
      </c>
      <c r="H80" s="7"/>
      <c r="I80" s="7"/>
      <c r="J80" s="7"/>
      <c r="K80" s="7"/>
      <c r="L80" s="7"/>
      <c r="M80" s="7"/>
      <c r="N80" s="7"/>
      <c r="O80" s="7"/>
      <c r="P80" s="7"/>
      <c r="Q80" s="7"/>
      <c r="U80" s="8">
        <f t="shared" si="1"/>
        <v>2.3</v>
      </c>
      <c r="V80" s="8">
        <f t="shared" si="2"/>
        <v>44</v>
      </c>
      <c r="W80" s="8" t="str">
        <f t="shared" si="3"/>
        <v/>
      </c>
      <c r="X80" s="8" t="str">
        <f t="shared" si="4"/>
        <v>#N/A</v>
      </c>
    </row>
    <row r="81">
      <c r="A81" s="4">
        <f t="shared" si="5"/>
        <v>80</v>
      </c>
      <c r="B81" s="4" t="s">
        <v>280</v>
      </c>
      <c r="C81" s="4" t="s">
        <v>281</v>
      </c>
      <c r="D81" s="4" t="s">
        <v>8</v>
      </c>
      <c r="E81" s="4" t="s">
        <v>335</v>
      </c>
      <c r="F81" s="5">
        <v>2.2</v>
      </c>
      <c r="G81" s="10">
        <v>1.0</v>
      </c>
      <c r="H81" s="7"/>
      <c r="I81" s="7"/>
      <c r="J81" s="7"/>
      <c r="K81" s="7"/>
      <c r="L81" s="7"/>
      <c r="M81" s="7"/>
      <c r="N81" s="7"/>
      <c r="O81" s="7"/>
      <c r="P81" s="7"/>
      <c r="Q81" s="7"/>
      <c r="U81" s="8">
        <f t="shared" si="1"/>
        <v>2.2</v>
      </c>
      <c r="V81" s="8">
        <f t="shared" si="2"/>
        <v>46</v>
      </c>
      <c r="W81" s="8" t="str">
        <f t="shared" si="3"/>
        <v/>
      </c>
      <c r="X81" s="8" t="str">
        <f t="shared" si="4"/>
        <v>#N/A</v>
      </c>
    </row>
    <row r="82">
      <c r="A82" s="4">
        <f t="shared" si="5"/>
        <v>81</v>
      </c>
      <c r="B82" s="4" t="s">
        <v>285</v>
      </c>
      <c r="C82" s="4" t="s">
        <v>284</v>
      </c>
      <c r="D82" s="4" t="s">
        <v>8</v>
      </c>
      <c r="E82" s="4" t="s">
        <v>126</v>
      </c>
      <c r="F82" s="5">
        <v>3.0</v>
      </c>
      <c r="G82" s="10">
        <v>3.0</v>
      </c>
      <c r="H82" s="7"/>
      <c r="I82" s="7"/>
      <c r="J82" s="7"/>
      <c r="K82" s="7"/>
      <c r="L82" s="7"/>
      <c r="M82" s="7"/>
      <c r="N82" s="7"/>
      <c r="O82" s="7"/>
      <c r="P82" s="7"/>
      <c r="Q82" s="7"/>
      <c r="U82" s="8">
        <f t="shared" si="1"/>
        <v>3</v>
      </c>
      <c r="V82" s="8">
        <f t="shared" si="2"/>
        <v>33</v>
      </c>
      <c r="W82" s="8" t="str">
        <f t="shared" si="3"/>
        <v/>
      </c>
      <c r="X82" s="8" t="str">
        <f t="shared" si="4"/>
        <v>#N/A</v>
      </c>
    </row>
    <row r="83">
      <c r="A83" s="4">
        <f t="shared" si="5"/>
        <v>82</v>
      </c>
      <c r="B83" s="4" t="s">
        <v>273</v>
      </c>
      <c r="C83" s="4" t="s">
        <v>288</v>
      </c>
      <c r="D83" s="4" t="s">
        <v>8</v>
      </c>
      <c r="E83" s="4" t="s">
        <v>172</v>
      </c>
      <c r="F83" s="5">
        <v>1.4</v>
      </c>
      <c r="G83" s="10">
        <v>1.0</v>
      </c>
      <c r="H83" s="7"/>
      <c r="I83" s="7"/>
      <c r="J83" s="7"/>
      <c r="K83" s="7"/>
      <c r="L83" s="7"/>
      <c r="M83" s="7"/>
      <c r="N83" s="7"/>
      <c r="O83" s="7"/>
      <c r="P83" s="7"/>
      <c r="Q83" s="7"/>
      <c r="U83" s="8">
        <f t="shared" si="1"/>
        <v>1.4</v>
      </c>
      <c r="V83" s="8">
        <f t="shared" si="2"/>
        <v>63</v>
      </c>
      <c r="W83" s="8" t="str">
        <f t="shared" si="3"/>
        <v/>
      </c>
      <c r="X83" s="8" t="str">
        <f t="shared" si="4"/>
        <v>#N/A</v>
      </c>
    </row>
    <row r="84">
      <c r="A84" s="4">
        <f t="shared" si="5"/>
        <v>83</v>
      </c>
      <c r="B84" s="4" t="s">
        <v>286</v>
      </c>
      <c r="C84" s="4" t="s">
        <v>286</v>
      </c>
      <c r="D84" s="4" t="s">
        <v>8</v>
      </c>
      <c r="E84" s="4" t="s">
        <v>346</v>
      </c>
      <c r="F84" s="5">
        <v>0.9</v>
      </c>
      <c r="G84" s="10">
        <v>1.0</v>
      </c>
      <c r="H84" s="7"/>
      <c r="I84" s="7"/>
      <c r="J84" s="7"/>
      <c r="K84" s="7"/>
      <c r="L84" s="7"/>
      <c r="M84" s="7"/>
      <c r="N84" s="7"/>
      <c r="O84" s="7"/>
      <c r="P84" s="7"/>
      <c r="Q84" s="7"/>
      <c r="U84" s="8">
        <f t="shared" si="1"/>
        <v>0.9</v>
      </c>
      <c r="V84" s="8">
        <f t="shared" si="2"/>
        <v>85</v>
      </c>
      <c r="W84" s="8" t="str">
        <f t="shared" si="3"/>
        <v/>
      </c>
      <c r="X84" s="8" t="str">
        <f t="shared" si="4"/>
        <v>#N/A</v>
      </c>
    </row>
    <row r="85">
      <c r="A85" s="4">
        <f t="shared" si="5"/>
        <v>84</v>
      </c>
      <c r="B85" s="4" t="s">
        <v>293</v>
      </c>
      <c r="C85" s="4" t="s">
        <v>286</v>
      </c>
      <c r="D85" s="4" t="s">
        <v>8</v>
      </c>
      <c r="E85" s="4" t="s">
        <v>446</v>
      </c>
      <c r="F85" s="5">
        <v>2.2</v>
      </c>
      <c r="G85" s="10">
        <v>1.0</v>
      </c>
      <c r="H85" s="7"/>
      <c r="I85" s="7"/>
      <c r="J85" s="7"/>
      <c r="K85" s="7"/>
      <c r="L85" s="7"/>
      <c r="M85" s="7"/>
      <c r="N85" s="7"/>
      <c r="O85" s="7"/>
      <c r="P85" s="7"/>
      <c r="Q85" s="7"/>
      <c r="U85" s="8">
        <f t="shared" si="1"/>
        <v>2.2</v>
      </c>
      <c r="V85" s="8">
        <f t="shared" si="2"/>
        <v>46</v>
      </c>
      <c r="W85" s="8" t="str">
        <f t="shared" si="3"/>
        <v/>
      </c>
      <c r="X85" s="8" t="str">
        <f t="shared" si="4"/>
        <v>#N/A</v>
      </c>
    </row>
    <row r="86">
      <c r="A86" s="4">
        <f t="shared" si="5"/>
        <v>85</v>
      </c>
      <c r="B86" s="4" t="s">
        <v>287</v>
      </c>
      <c r="C86" s="4" t="s">
        <v>284</v>
      </c>
      <c r="D86" s="4" t="s">
        <v>8</v>
      </c>
      <c r="E86" s="4" t="s">
        <v>228</v>
      </c>
      <c r="F86" s="5">
        <v>1.7</v>
      </c>
      <c r="G86" s="10">
        <v>1.0</v>
      </c>
      <c r="H86" s="7"/>
      <c r="I86" s="7"/>
      <c r="J86" s="7"/>
      <c r="K86" s="7"/>
      <c r="L86" s="7"/>
      <c r="M86" s="7"/>
      <c r="N86" s="7"/>
      <c r="O86" s="7"/>
      <c r="P86" s="7"/>
      <c r="Q86" s="7"/>
      <c r="U86" s="8">
        <f t="shared" si="1"/>
        <v>1.7</v>
      </c>
      <c r="V86" s="8">
        <f t="shared" si="2"/>
        <v>55</v>
      </c>
      <c r="W86" s="8" t="str">
        <f t="shared" si="3"/>
        <v/>
      </c>
      <c r="X86" s="8" t="str">
        <f t="shared" si="4"/>
        <v>#N/A</v>
      </c>
    </row>
    <row r="87">
      <c r="A87" s="4">
        <f t="shared" si="5"/>
        <v>86</v>
      </c>
      <c r="B87" s="4" t="s">
        <v>284</v>
      </c>
      <c r="C87" s="4" t="s">
        <v>294</v>
      </c>
      <c r="D87" s="4" t="s">
        <v>8</v>
      </c>
      <c r="E87" s="4" t="s">
        <v>102</v>
      </c>
      <c r="F87" s="5">
        <v>1.7</v>
      </c>
      <c r="G87" s="10">
        <v>1.0</v>
      </c>
      <c r="H87" s="7"/>
      <c r="I87" s="7"/>
      <c r="J87" s="7"/>
      <c r="K87" s="7"/>
      <c r="L87" s="7"/>
      <c r="M87" s="7"/>
      <c r="N87" s="7"/>
      <c r="O87" s="7"/>
      <c r="P87" s="7"/>
      <c r="Q87" s="7"/>
      <c r="U87" s="8">
        <f t="shared" si="1"/>
        <v>1.7</v>
      </c>
      <c r="V87" s="8">
        <f t="shared" si="2"/>
        <v>55</v>
      </c>
      <c r="W87" s="8" t="str">
        <f t="shared" si="3"/>
        <v/>
      </c>
      <c r="X87" s="8" t="str">
        <f t="shared" si="4"/>
        <v>#N/A</v>
      </c>
    </row>
    <row r="88">
      <c r="A88" s="4">
        <f t="shared" si="5"/>
        <v>87</v>
      </c>
      <c r="B88" s="4" t="s">
        <v>294</v>
      </c>
      <c r="C88" s="4" t="s">
        <v>287</v>
      </c>
      <c r="D88" s="4" t="s">
        <v>8</v>
      </c>
      <c r="E88" s="4" t="s">
        <v>144</v>
      </c>
      <c r="F88" s="5">
        <v>2.9</v>
      </c>
      <c r="G88" s="10">
        <v>2.0</v>
      </c>
      <c r="H88" s="7"/>
      <c r="I88" s="7"/>
      <c r="J88" s="7"/>
      <c r="K88" s="7"/>
      <c r="L88" s="7"/>
      <c r="M88" s="7"/>
      <c r="N88" s="7"/>
      <c r="O88" s="7"/>
      <c r="P88" s="7"/>
      <c r="Q88" s="7"/>
      <c r="U88" s="8">
        <f t="shared" si="1"/>
        <v>2.9</v>
      </c>
      <c r="V88" s="8">
        <f t="shared" si="2"/>
        <v>37</v>
      </c>
      <c r="W88" s="8" t="str">
        <f t="shared" si="3"/>
        <v/>
      </c>
      <c r="X88" s="8" t="str">
        <f t="shared" si="4"/>
        <v>#N/A</v>
      </c>
    </row>
    <row r="89">
      <c r="A89" s="4">
        <f t="shared" si="5"/>
        <v>88</v>
      </c>
      <c r="B89" s="4" t="s">
        <v>281</v>
      </c>
      <c r="C89" s="4" t="s">
        <v>286</v>
      </c>
      <c r="D89" s="4" t="s">
        <v>8</v>
      </c>
      <c r="E89" s="4" t="s">
        <v>255</v>
      </c>
      <c r="F89" s="5">
        <v>1.7</v>
      </c>
      <c r="G89" s="10">
        <v>1.0</v>
      </c>
      <c r="H89" s="7"/>
      <c r="I89" s="7"/>
      <c r="J89" s="7"/>
      <c r="K89" s="7"/>
      <c r="L89" s="7"/>
      <c r="M89" s="7"/>
      <c r="N89" s="7"/>
      <c r="O89" s="7"/>
      <c r="P89" s="7"/>
      <c r="Q89" s="7"/>
      <c r="U89" s="8">
        <f t="shared" si="1"/>
        <v>1.7</v>
      </c>
      <c r="V89" s="8">
        <f t="shared" si="2"/>
        <v>55</v>
      </c>
      <c r="W89" s="8" t="str">
        <f t="shared" si="3"/>
        <v/>
      </c>
      <c r="X89" s="8" t="str">
        <f t="shared" si="4"/>
        <v>#N/A</v>
      </c>
    </row>
    <row r="90">
      <c r="A90" s="4">
        <f t="shared" si="5"/>
        <v>89</v>
      </c>
      <c r="B90" s="4" t="s">
        <v>288</v>
      </c>
      <c r="C90" s="4" t="s">
        <v>281</v>
      </c>
      <c r="D90" s="4" t="s">
        <v>8</v>
      </c>
      <c r="E90" s="4" t="s">
        <v>447</v>
      </c>
      <c r="F90" s="5">
        <v>2.2</v>
      </c>
      <c r="G90" s="10">
        <v>1.0</v>
      </c>
      <c r="H90" s="7"/>
      <c r="I90" s="7"/>
      <c r="J90" s="7"/>
      <c r="K90" s="7"/>
      <c r="L90" s="7"/>
      <c r="M90" s="7"/>
      <c r="N90" s="7"/>
      <c r="O90" s="7"/>
      <c r="P90" s="7"/>
      <c r="Q90" s="7"/>
      <c r="U90" s="8">
        <f t="shared" si="1"/>
        <v>2.2</v>
      </c>
      <c r="V90" s="8">
        <f t="shared" si="2"/>
        <v>46</v>
      </c>
      <c r="W90" s="8" t="str">
        <f t="shared" si="3"/>
        <v/>
      </c>
      <c r="X90" s="8" t="str">
        <f t="shared" si="4"/>
        <v>#N/A</v>
      </c>
    </row>
    <row r="91">
      <c r="A91" s="4">
        <f t="shared" si="5"/>
        <v>90</v>
      </c>
      <c r="B91" s="4" t="s">
        <v>280</v>
      </c>
      <c r="C91" s="4" t="s">
        <v>286</v>
      </c>
      <c r="D91" s="4" t="s">
        <v>8</v>
      </c>
      <c r="E91" s="4" t="s">
        <v>104</v>
      </c>
      <c r="F91" s="5">
        <v>0.7</v>
      </c>
      <c r="G91" s="10">
        <v>1.0</v>
      </c>
      <c r="H91" s="7"/>
      <c r="I91" s="7"/>
      <c r="J91" s="7"/>
      <c r="K91" s="7"/>
      <c r="L91" s="7"/>
      <c r="M91" s="7"/>
      <c r="N91" s="7"/>
      <c r="O91" s="7"/>
      <c r="P91" s="7"/>
      <c r="Q91" s="7"/>
      <c r="U91" s="8">
        <f t="shared" si="1"/>
        <v>0.7</v>
      </c>
      <c r="V91" s="8">
        <f t="shared" si="2"/>
        <v>96</v>
      </c>
      <c r="W91" s="8" t="str">
        <f t="shared" si="3"/>
        <v/>
      </c>
      <c r="X91" s="8" t="str">
        <f t="shared" si="4"/>
        <v>#N/A</v>
      </c>
    </row>
    <row r="92">
      <c r="A92" s="4">
        <f t="shared" si="5"/>
        <v>91</v>
      </c>
      <c r="B92" s="4" t="s">
        <v>285</v>
      </c>
      <c r="C92" s="4" t="s">
        <v>285</v>
      </c>
      <c r="D92" s="4" t="s">
        <v>8</v>
      </c>
      <c r="E92" s="4" t="s">
        <v>322</v>
      </c>
      <c r="F92" s="5">
        <v>0.5</v>
      </c>
      <c r="G92" s="10">
        <v>2.0</v>
      </c>
      <c r="H92" s="7"/>
      <c r="I92" s="7"/>
      <c r="J92" s="7"/>
      <c r="K92" s="7"/>
      <c r="L92" s="7"/>
      <c r="M92" s="7"/>
      <c r="N92" s="7"/>
      <c r="O92" s="7"/>
      <c r="P92" s="7"/>
      <c r="Q92" s="7"/>
      <c r="U92" s="8">
        <f t="shared" si="1"/>
        <v>0.5</v>
      </c>
      <c r="V92" s="8">
        <f t="shared" si="2"/>
        <v>110</v>
      </c>
      <c r="W92" s="8" t="str">
        <f t="shared" si="3"/>
        <v/>
      </c>
      <c r="X92" s="8" t="str">
        <f t="shared" si="4"/>
        <v>#N/A</v>
      </c>
    </row>
    <row r="93">
      <c r="A93" s="4">
        <f t="shared" si="5"/>
        <v>92</v>
      </c>
      <c r="B93" s="4" t="s">
        <v>273</v>
      </c>
      <c r="C93" s="4" t="s">
        <v>284</v>
      </c>
      <c r="D93" s="4" t="s">
        <v>8</v>
      </c>
      <c r="E93" s="4" t="s">
        <v>448</v>
      </c>
      <c r="F93" s="5">
        <v>1.4</v>
      </c>
      <c r="G93" s="10">
        <v>1.0</v>
      </c>
      <c r="H93" s="7"/>
      <c r="I93" s="7"/>
      <c r="J93" s="7"/>
      <c r="K93" s="7"/>
      <c r="L93" s="7"/>
      <c r="M93" s="7"/>
      <c r="N93" s="7"/>
      <c r="O93" s="7"/>
      <c r="P93" s="7"/>
      <c r="Q93" s="7"/>
      <c r="U93" s="8">
        <f t="shared" si="1"/>
        <v>1.4</v>
      </c>
      <c r="V93" s="8">
        <f t="shared" si="2"/>
        <v>63</v>
      </c>
      <c r="W93" s="8" t="str">
        <f t="shared" si="3"/>
        <v/>
      </c>
      <c r="X93" s="8" t="str">
        <f t="shared" si="4"/>
        <v>#N/A</v>
      </c>
    </row>
    <row r="94">
      <c r="A94" s="4">
        <f t="shared" si="5"/>
        <v>93</v>
      </c>
      <c r="B94" s="4" t="s">
        <v>286</v>
      </c>
      <c r="C94" s="4" t="s">
        <v>286</v>
      </c>
      <c r="D94" s="4" t="s">
        <v>8</v>
      </c>
      <c r="E94" s="4" t="s">
        <v>189</v>
      </c>
      <c r="F94" s="5">
        <v>1.2</v>
      </c>
      <c r="G94" s="10">
        <v>1.0</v>
      </c>
      <c r="H94" s="7"/>
      <c r="I94" s="7"/>
      <c r="J94" s="7"/>
      <c r="K94" s="7"/>
      <c r="L94" s="7"/>
      <c r="M94" s="7"/>
      <c r="N94" s="7"/>
      <c r="O94" s="7"/>
      <c r="P94" s="7"/>
      <c r="Q94" s="7"/>
      <c r="U94" s="8">
        <f t="shared" si="1"/>
        <v>1.2</v>
      </c>
      <c r="V94" s="8">
        <f t="shared" si="2"/>
        <v>69</v>
      </c>
      <c r="W94" s="8" t="str">
        <f t="shared" si="3"/>
        <v/>
      </c>
      <c r="X94" s="8" t="str">
        <f t="shared" si="4"/>
        <v>#N/A</v>
      </c>
    </row>
    <row r="95">
      <c r="A95" s="4">
        <f t="shared" si="5"/>
        <v>94</v>
      </c>
      <c r="B95" s="4" t="s">
        <v>293</v>
      </c>
      <c r="C95" s="4" t="s">
        <v>293</v>
      </c>
      <c r="D95" s="4" t="s">
        <v>8</v>
      </c>
      <c r="E95" s="4" t="s">
        <v>259</v>
      </c>
      <c r="F95" s="5">
        <v>1.0</v>
      </c>
      <c r="G95" s="10">
        <v>1.0</v>
      </c>
      <c r="H95" s="7"/>
      <c r="I95" s="7"/>
      <c r="J95" s="7"/>
      <c r="K95" s="7"/>
      <c r="L95" s="7"/>
      <c r="M95" s="7"/>
      <c r="N95" s="7"/>
      <c r="O95" s="7"/>
      <c r="P95" s="7"/>
      <c r="Q95" s="7"/>
      <c r="U95" s="8">
        <f t="shared" si="1"/>
        <v>1</v>
      </c>
      <c r="V95" s="8">
        <f t="shared" si="2"/>
        <v>79</v>
      </c>
      <c r="W95" s="8" t="str">
        <f t="shared" si="3"/>
        <v/>
      </c>
      <c r="X95" s="8" t="str">
        <f t="shared" si="4"/>
        <v>#N/A</v>
      </c>
    </row>
    <row r="96">
      <c r="A96" s="4">
        <f t="shared" si="5"/>
        <v>95</v>
      </c>
      <c r="B96" s="4" t="s">
        <v>287</v>
      </c>
      <c r="C96" s="4" t="s">
        <v>294</v>
      </c>
      <c r="D96" s="4" t="s">
        <v>8</v>
      </c>
      <c r="E96" s="4" t="s">
        <v>416</v>
      </c>
      <c r="F96" s="5">
        <v>4.5</v>
      </c>
      <c r="G96" s="10">
        <v>1.0</v>
      </c>
      <c r="H96" s="7"/>
      <c r="I96" s="7"/>
      <c r="J96" s="7"/>
      <c r="K96" s="7"/>
      <c r="L96" s="7"/>
      <c r="M96" s="7"/>
      <c r="N96" s="7"/>
      <c r="O96" s="7"/>
      <c r="P96" s="7"/>
      <c r="Q96" s="7"/>
      <c r="U96" s="8">
        <f t="shared" si="1"/>
        <v>4.5</v>
      </c>
      <c r="V96" s="8">
        <f t="shared" si="2"/>
        <v>17</v>
      </c>
      <c r="W96" s="8" t="str">
        <f t="shared" si="3"/>
        <v/>
      </c>
      <c r="X96" s="8" t="str">
        <f t="shared" si="4"/>
        <v>#N/A</v>
      </c>
    </row>
    <row r="97">
      <c r="A97" s="4">
        <f t="shared" si="5"/>
        <v>96</v>
      </c>
      <c r="B97" s="4" t="s">
        <v>284</v>
      </c>
      <c r="C97" s="4" t="s">
        <v>284</v>
      </c>
      <c r="D97" s="4" t="s">
        <v>8</v>
      </c>
      <c r="E97" s="4" t="s">
        <v>113</v>
      </c>
      <c r="F97" s="5">
        <v>1.3</v>
      </c>
      <c r="G97" s="10">
        <v>1.0</v>
      </c>
      <c r="H97" s="7"/>
      <c r="I97" s="7"/>
      <c r="J97" s="7"/>
      <c r="K97" s="7"/>
      <c r="L97" s="7"/>
      <c r="M97" s="7"/>
      <c r="N97" s="7"/>
      <c r="O97" s="7"/>
      <c r="P97" s="7"/>
      <c r="Q97" s="7"/>
      <c r="U97" s="8">
        <f t="shared" si="1"/>
        <v>1.3</v>
      </c>
      <c r="V97" s="8">
        <f t="shared" si="2"/>
        <v>66</v>
      </c>
      <c r="W97" s="8" t="str">
        <f t="shared" si="3"/>
        <v/>
      </c>
      <c r="X97" s="8" t="str">
        <f t="shared" si="4"/>
        <v>#N/A</v>
      </c>
    </row>
    <row r="98">
      <c r="A98" s="4">
        <f t="shared" si="5"/>
        <v>97</v>
      </c>
      <c r="B98" s="4" t="s">
        <v>294</v>
      </c>
      <c r="C98" s="4" t="s">
        <v>287</v>
      </c>
      <c r="D98" s="4" t="s">
        <v>8</v>
      </c>
      <c r="E98" s="4" t="s">
        <v>328</v>
      </c>
      <c r="F98" s="5">
        <v>4.2</v>
      </c>
      <c r="G98" s="10">
        <v>1.0</v>
      </c>
      <c r="H98" s="7"/>
      <c r="I98" s="7"/>
      <c r="J98" s="7"/>
      <c r="K98" s="7"/>
      <c r="L98" s="7"/>
      <c r="M98" s="7"/>
      <c r="N98" s="7"/>
      <c r="O98" s="7"/>
      <c r="P98" s="7"/>
      <c r="Q98" s="7"/>
      <c r="U98" s="8">
        <f t="shared" si="1"/>
        <v>4.2</v>
      </c>
      <c r="V98" s="8">
        <f t="shared" si="2"/>
        <v>19</v>
      </c>
      <c r="W98" s="8" t="str">
        <f t="shared" si="3"/>
        <v/>
      </c>
      <c r="X98" s="8" t="str">
        <f t="shared" si="4"/>
        <v>#N/A</v>
      </c>
    </row>
    <row r="99">
      <c r="A99" s="4">
        <f t="shared" si="5"/>
        <v>98</v>
      </c>
      <c r="B99" s="4" t="s">
        <v>281</v>
      </c>
      <c r="C99" s="4" t="s">
        <v>288</v>
      </c>
      <c r="D99" s="4" t="s">
        <v>8</v>
      </c>
      <c r="E99" s="4" t="s">
        <v>449</v>
      </c>
      <c r="F99" s="5">
        <v>1.4</v>
      </c>
      <c r="G99" s="10">
        <v>1.0</v>
      </c>
      <c r="H99" s="7"/>
      <c r="I99" s="7"/>
      <c r="J99" s="7"/>
      <c r="K99" s="7"/>
      <c r="L99" s="7"/>
      <c r="M99" s="7"/>
      <c r="N99" s="7"/>
      <c r="O99" s="7"/>
      <c r="P99" s="7"/>
      <c r="Q99" s="7"/>
      <c r="U99" s="8">
        <f t="shared" si="1"/>
        <v>1.4</v>
      </c>
      <c r="V99" s="8">
        <f t="shared" si="2"/>
        <v>63</v>
      </c>
      <c r="W99" s="8" t="str">
        <f t="shared" si="3"/>
        <v/>
      </c>
      <c r="X99" s="8" t="str">
        <f t="shared" si="4"/>
        <v>#N/A</v>
      </c>
    </row>
    <row r="100">
      <c r="A100" s="4">
        <f t="shared" si="5"/>
        <v>99</v>
      </c>
      <c r="B100" s="4" t="s">
        <v>288</v>
      </c>
      <c r="C100" s="4" t="s">
        <v>288</v>
      </c>
      <c r="D100" s="4" t="s">
        <v>8</v>
      </c>
      <c r="E100" s="4" t="s">
        <v>397</v>
      </c>
      <c r="F100" s="5">
        <v>2.3</v>
      </c>
      <c r="G100" s="10">
        <v>1.0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U100" s="8">
        <f t="shared" si="1"/>
        <v>2.3</v>
      </c>
      <c r="V100" s="8">
        <f t="shared" si="2"/>
        <v>44</v>
      </c>
      <c r="W100" s="8" t="str">
        <f t="shared" si="3"/>
        <v/>
      </c>
      <c r="X100" s="8" t="str">
        <f t="shared" si="4"/>
        <v>#N/A</v>
      </c>
    </row>
    <row r="101">
      <c r="A101" s="4">
        <f t="shared" si="5"/>
        <v>100</v>
      </c>
      <c r="B101" s="4" t="s">
        <v>280</v>
      </c>
      <c r="C101" s="4" t="s">
        <v>294</v>
      </c>
      <c r="D101" s="4" t="s">
        <v>8</v>
      </c>
      <c r="E101" s="4" t="s">
        <v>78</v>
      </c>
      <c r="F101" s="5">
        <v>0.7</v>
      </c>
      <c r="G101" s="10">
        <v>1.0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U101" s="8">
        <f t="shared" si="1"/>
        <v>0.7</v>
      </c>
      <c r="V101" s="8">
        <f t="shared" si="2"/>
        <v>96</v>
      </c>
      <c r="W101" s="8" t="str">
        <f t="shared" si="3"/>
        <v/>
      </c>
      <c r="X101" s="8" t="str">
        <f t="shared" si="4"/>
        <v>#N/A</v>
      </c>
    </row>
    <row r="102">
      <c r="A102" s="4">
        <f t="shared" si="5"/>
        <v>101</v>
      </c>
      <c r="B102" s="4" t="s">
        <v>285</v>
      </c>
      <c r="C102" s="4" t="s">
        <v>285</v>
      </c>
      <c r="D102" s="4" t="s">
        <v>8</v>
      </c>
      <c r="E102" s="4" t="s">
        <v>338</v>
      </c>
      <c r="F102" s="5">
        <v>0.5</v>
      </c>
      <c r="G102" s="10">
        <v>1.0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U102" s="8">
        <f t="shared" si="1"/>
        <v>0.5</v>
      </c>
      <c r="V102" s="8">
        <f t="shared" si="2"/>
        <v>110</v>
      </c>
      <c r="W102" s="8" t="str">
        <f t="shared" si="3"/>
        <v/>
      </c>
      <c r="X102" s="8" t="str">
        <f t="shared" si="4"/>
        <v>#N/A</v>
      </c>
    </row>
    <row r="103">
      <c r="A103" s="4">
        <f t="shared" si="5"/>
        <v>102</v>
      </c>
      <c r="B103" s="4" t="s">
        <v>273</v>
      </c>
      <c r="C103" s="4" t="s">
        <v>286</v>
      </c>
      <c r="D103" s="4" t="s">
        <v>8</v>
      </c>
      <c r="E103" s="4" t="s">
        <v>450</v>
      </c>
      <c r="F103" s="5">
        <v>0.6</v>
      </c>
      <c r="G103" s="10">
        <v>1.0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U103" s="8">
        <f t="shared" si="1"/>
        <v>0.6</v>
      </c>
      <c r="V103" s="8">
        <f t="shared" si="2"/>
        <v>101</v>
      </c>
      <c r="W103" s="8" t="str">
        <f t="shared" si="3"/>
        <v/>
      </c>
      <c r="X103" s="8" t="str">
        <f t="shared" si="4"/>
        <v>#N/A</v>
      </c>
    </row>
    <row r="104">
      <c r="A104" s="4">
        <f t="shared" si="5"/>
        <v>103</v>
      </c>
      <c r="B104" s="4" t="s">
        <v>286</v>
      </c>
      <c r="C104" s="4" t="s">
        <v>280</v>
      </c>
      <c r="D104" s="4" t="s">
        <v>8</v>
      </c>
      <c r="E104" s="4" t="s">
        <v>451</v>
      </c>
      <c r="F104" s="5">
        <v>0.9</v>
      </c>
      <c r="G104" s="10">
        <v>1.0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U104" s="8">
        <f t="shared" si="1"/>
        <v>0.9</v>
      </c>
      <c r="V104" s="8">
        <f t="shared" si="2"/>
        <v>85</v>
      </c>
      <c r="W104" s="8" t="str">
        <f t="shared" si="3"/>
        <v/>
      </c>
      <c r="X104" s="8" t="str">
        <f t="shared" si="4"/>
        <v>#N/A</v>
      </c>
    </row>
    <row r="105">
      <c r="A105" s="4">
        <f t="shared" si="5"/>
        <v>104</v>
      </c>
      <c r="B105" s="4" t="s">
        <v>287</v>
      </c>
      <c r="C105" s="4" t="s">
        <v>286</v>
      </c>
      <c r="D105" s="4" t="s">
        <v>8</v>
      </c>
      <c r="E105" s="4" t="s">
        <v>384</v>
      </c>
      <c r="F105" s="5">
        <v>0.8</v>
      </c>
      <c r="G105" s="10">
        <v>1.0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U105" s="8">
        <f t="shared" si="1"/>
        <v>0.8</v>
      </c>
      <c r="V105" s="8">
        <f t="shared" si="2"/>
        <v>91</v>
      </c>
      <c r="W105" s="8" t="str">
        <f t="shared" si="3"/>
        <v/>
      </c>
      <c r="X105" s="8" t="str">
        <f t="shared" si="4"/>
        <v>#N/A</v>
      </c>
    </row>
    <row r="106">
      <c r="A106" s="4">
        <f t="shared" si="5"/>
        <v>105</v>
      </c>
      <c r="B106" s="4" t="s">
        <v>284</v>
      </c>
      <c r="C106" s="4" t="s">
        <v>285</v>
      </c>
      <c r="D106" s="4" t="s">
        <v>8</v>
      </c>
      <c r="E106" s="4" t="s">
        <v>452</v>
      </c>
      <c r="F106" s="5">
        <v>1.7</v>
      </c>
      <c r="G106" s="10">
        <v>1.0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  <c r="U106" s="8">
        <f t="shared" si="1"/>
        <v>1.7</v>
      </c>
      <c r="V106" s="8">
        <f t="shared" si="2"/>
        <v>55</v>
      </c>
      <c r="W106" s="8" t="str">
        <f t="shared" si="3"/>
        <v/>
      </c>
      <c r="X106" s="8" t="str">
        <f t="shared" si="4"/>
        <v>#N/A</v>
      </c>
    </row>
    <row r="107">
      <c r="A107" s="4">
        <f t="shared" si="5"/>
        <v>106</v>
      </c>
      <c r="B107" s="4" t="s">
        <v>294</v>
      </c>
      <c r="C107" s="4" t="s">
        <v>294</v>
      </c>
      <c r="D107" s="4" t="s">
        <v>8</v>
      </c>
      <c r="E107" s="4" t="s">
        <v>453</v>
      </c>
      <c r="F107" s="5">
        <v>0.5</v>
      </c>
      <c r="G107" s="10">
        <v>1.0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U107" s="8">
        <f t="shared" si="1"/>
        <v>0.5</v>
      </c>
      <c r="V107" s="8">
        <f t="shared" si="2"/>
        <v>110</v>
      </c>
      <c r="W107" s="8" t="str">
        <f t="shared" si="3"/>
        <v/>
      </c>
      <c r="X107" s="8" t="str">
        <f t="shared" si="4"/>
        <v>#N/A</v>
      </c>
    </row>
    <row r="108">
      <c r="A108" s="4">
        <f t="shared" si="5"/>
        <v>107</v>
      </c>
      <c r="B108" s="4" t="s">
        <v>281</v>
      </c>
      <c r="C108" s="4" t="s">
        <v>281</v>
      </c>
      <c r="D108" s="4" t="s">
        <v>8</v>
      </c>
      <c r="E108" s="4" t="s">
        <v>454</v>
      </c>
      <c r="F108" s="5">
        <v>0.5</v>
      </c>
      <c r="G108" s="10">
        <v>1.0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U108" s="8">
        <f t="shared" si="1"/>
        <v>0.5</v>
      </c>
      <c r="V108" s="8">
        <f t="shared" si="2"/>
        <v>110</v>
      </c>
      <c r="W108" s="8" t="str">
        <f t="shared" si="3"/>
        <v/>
      </c>
      <c r="X108" s="8" t="str">
        <f t="shared" si="4"/>
        <v>#N/A</v>
      </c>
    </row>
    <row r="109">
      <c r="A109" s="4">
        <f t="shared" si="5"/>
        <v>108</v>
      </c>
      <c r="B109" s="4" t="s">
        <v>288</v>
      </c>
      <c r="C109" s="4" t="s">
        <v>284</v>
      </c>
      <c r="D109" s="4" t="s">
        <v>8</v>
      </c>
      <c r="E109" s="4" t="s">
        <v>85</v>
      </c>
      <c r="F109" s="5">
        <v>2.4</v>
      </c>
      <c r="G109" s="10">
        <v>1.0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r="U109" s="8">
        <f t="shared" si="1"/>
        <v>2.4</v>
      </c>
      <c r="V109" s="8">
        <f t="shared" si="2"/>
        <v>42</v>
      </c>
      <c r="W109" s="8" t="str">
        <f t="shared" si="3"/>
        <v/>
      </c>
      <c r="X109" s="8" t="str">
        <f t="shared" si="4"/>
        <v>#N/A</v>
      </c>
    </row>
    <row r="110">
      <c r="A110" s="4">
        <f t="shared" si="5"/>
        <v>109</v>
      </c>
      <c r="B110" s="4" t="s">
        <v>280</v>
      </c>
      <c r="C110" s="4" t="s">
        <v>280</v>
      </c>
      <c r="D110" s="4" t="s">
        <v>8</v>
      </c>
      <c r="E110" s="4" t="s">
        <v>455</v>
      </c>
      <c r="F110" s="5">
        <v>0.7</v>
      </c>
      <c r="G110" s="10">
        <v>1.0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U110" s="8">
        <f t="shared" si="1"/>
        <v>0.7</v>
      </c>
      <c r="V110" s="8">
        <f t="shared" si="2"/>
        <v>96</v>
      </c>
      <c r="W110" s="8" t="str">
        <f t="shared" si="3"/>
        <v/>
      </c>
      <c r="X110" s="8" t="str">
        <f t="shared" si="4"/>
        <v>#N/A</v>
      </c>
    </row>
    <row r="111">
      <c r="A111" s="4">
        <f t="shared" si="5"/>
        <v>110</v>
      </c>
      <c r="B111" s="4" t="s">
        <v>285</v>
      </c>
      <c r="C111" s="4" t="s">
        <v>273</v>
      </c>
      <c r="D111" s="4" t="s">
        <v>8</v>
      </c>
      <c r="E111" s="4" t="s">
        <v>319</v>
      </c>
      <c r="F111" s="5">
        <v>1.0</v>
      </c>
      <c r="G111" s="10">
        <v>1.0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U111" s="8">
        <f t="shared" si="1"/>
        <v>1</v>
      </c>
      <c r="V111" s="8">
        <f t="shared" si="2"/>
        <v>79</v>
      </c>
      <c r="W111" s="8" t="str">
        <f t="shared" si="3"/>
        <v/>
      </c>
      <c r="X111" s="8" t="str">
        <f t="shared" si="4"/>
        <v>#N/A</v>
      </c>
    </row>
    <row r="112">
      <c r="A112" s="4">
        <f t="shared" si="5"/>
        <v>111</v>
      </c>
      <c r="B112" s="4" t="s">
        <v>273</v>
      </c>
      <c r="C112" s="4" t="s">
        <v>294</v>
      </c>
      <c r="D112" s="4" t="s">
        <v>8</v>
      </c>
      <c r="E112" s="4" t="s">
        <v>114</v>
      </c>
      <c r="F112" s="5">
        <v>1.0</v>
      </c>
      <c r="G112" s="10">
        <v>2.0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U112" s="8">
        <f t="shared" si="1"/>
        <v>1</v>
      </c>
      <c r="V112" s="8">
        <f t="shared" si="2"/>
        <v>79</v>
      </c>
      <c r="W112" s="8" t="str">
        <f t="shared" si="3"/>
        <v/>
      </c>
      <c r="X112" s="8" t="str">
        <f t="shared" si="4"/>
        <v>#N/A</v>
      </c>
    </row>
    <row r="113">
      <c r="A113" s="4">
        <f t="shared" si="5"/>
        <v>112</v>
      </c>
      <c r="B113" s="4" t="s">
        <v>286</v>
      </c>
      <c r="C113" s="4" t="s">
        <v>284</v>
      </c>
      <c r="D113" s="4" t="s">
        <v>8</v>
      </c>
      <c r="E113" s="4" t="s">
        <v>109</v>
      </c>
      <c r="F113" s="5">
        <v>1.3</v>
      </c>
      <c r="G113" s="10">
        <v>1.0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U113" s="8">
        <f t="shared" si="1"/>
        <v>1.3</v>
      </c>
      <c r="V113" s="8">
        <f t="shared" si="2"/>
        <v>66</v>
      </c>
      <c r="W113" s="8" t="str">
        <f t="shared" si="3"/>
        <v/>
      </c>
      <c r="X113" s="8" t="str">
        <f t="shared" si="4"/>
        <v>#N/A</v>
      </c>
    </row>
    <row r="114">
      <c r="A114" s="4">
        <f t="shared" si="5"/>
        <v>113</v>
      </c>
      <c r="B114" s="4" t="s">
        <v>287</v>
      </c>
      <c r="C114" s="4" t="s">
        <v>287</v>
      </c>
      <c r="D114" s="4" t="s">
        <v>8</v>
      </c>
      <c r="E114" s="4" t="s">
        <v>456</v>
      </c>
      <c r="F114" s="5">
        <v>0.5</v>
      </c>
      <c r="G114" s="10">
        <v>1.0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U114" s="8">
        <f t="shared" si="1"/>
        <v>0.5</v>
      </c>
      <c r="V114" s="8">
        <f t="shared" si="2"/>
        <v>110</v>
      </c>
      <c r="W114" s="8" t="str">
        <f t="shared" si="3"/>
        <v/>
      </c>
      <c r="X114" s="8" t="str">
        <f t="shared" si="4"/>
        <v>#N/A</v>
      </c>
    </row>
    <row r="115">
      <c r="A115" s="4">
        <f t="shared" si="5"/>
        <v>114</v>
      </c>
      <c r="B115" s="4" t="s">
        <v>284</v>
      </c>
      <c r="C115" s="4" t="s">
        <v>286</v>
      </c>
      <c r="D115" s="4" t="s">
        <v>8</v>
      </c>
      <c r="E115" s="4" t="s">
        <v>93</v>
      </c>
      <c r="F115" s="5">
        <v>2.1</v>
      </c>
      <c r="G115" s="10">
        <v>1.0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U115" s="8">
        <f t="shared" si="1"/>
        <v>2.1</v>
      </c>
      <c r="V115" s="8">
        <f t="shared" si="2"/>
        <v>52</v>
      </c>
      <c r="W115" s="8" t="str">
        <f t="shared" si="3"/>
        <v/>
      </c>
      <c r="X115" s="8" t="str">
        <f t="shared" si="4"/>
        <v>#N/A</v>
      </c>
    </row>
    <row r="116">
      <c r="A116" s="4">
        <f t="shared" si="5"/>
        <v>115</v>
      </c>
      <c r="B116" s="4" t="s">
        <v>294</v>
      </c>
      <c r="C116" s="4" t="s">
        <v>286</v>
      </c>
      <c r="D116" s="4" t="s">
        <v>8</v>
      </c>
      <c r="E116" s="4" t="s">
        <v>457</v>
      </c>
      <c r="F116" s="5">
        <v>1.1</v>
      </c>
      <c r="G116" s="10">
        <v>1.0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U116" s="8">
        <f t="shared" si="1"/>
        <v>1.1</v>
      </c>
      <c r="V116" s="8">
        <f t="shared" si="2"/>
        <v>76</v>
      </c>
      <c r="W116" s="8" t="str">
        <f t="shared" si="3"/>
        <v/>
      </c>
      <c r="X116" s="8" t="str">
        <f t="shared" si="4"/>
        <v>#N/A</v>
      </c>
    </row>
    <row r="117">
      <c r="A117" s="4">
        <f t="shared" si="5"/>
        <v>116</v>
      </c>
      <c r="B117" s="4" t="s">
        <v>281</v>
      </c>
      <c r="C117" s="4" t="s">
        <v>280</v>
      </c>
      <c r="D117" s="4" t="s">
        <v>8</v>
      </c>
      <c r="E117" s="4" t="s">
        <v>207</v>
      </c>
      <c r="F117" s="5">
        <v>0.9</v>
      </c>
      <c r="G117" s="10">
        <v>1.0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U117" s="8">
        <f t="shared" si="1"/>
        <v>0.9</v>
      </c>
      <c r="V117" s="8">
        <f t="shared" si="2"/>
        <v>85</v>
      </c>
      <c r="W117" s="8" t="str">
        <f t="shared" si="3"/>
        <v/>
      </c>
      <c r="X117" s="8" t="str">
        <f t="shared" si="4"/>
        <v>#N/A</v>
      </c>
    </row>
    <row r="118">
      <c r="A118" s="4">
        <f t="shared" si="5"/>
        <v>117</v>
      </c>
      <c r="B118" s="4" t="s">
        <v>288</v>
      </c>
      <c r="C118" s="4" t="s">
        <v>284</v>
      </c>
      <c r="D118" s="4" t="s">
        <v>8</v>
      </c>
      <c r="E118" s="4" t="s">
        <v>380</v>
      </c>
      <c r="F118" s="5">
        <v>1.1</v>
      </c>
      <c r="G118" s="10">
        <v>1.0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U118" s="8">
        <f t="shared" si="1"/>
        <v>1.1</v>
      </c>
      <c r="V118" s="8">
        <f t="shared" si="2"/>
        <v>76</v>
      </c>
      <c r="W118" s="8" t="str">
        <f t="shared" si="3"/>
        <v/>
      </c>
      <c r="X118" s="8" t="str">
        <f t="shared" si="4"/>
        <v>#N/A</v>
      </c>
    </row>
    <row r="119">
      <c r="A119" s="4">
        <f t="shared" si="5"/>
        <v>118</v>
      </c>
      <c r="B119" s="4" t="s">
        <v>280</v>
      </c>
      <c r="C119" s="4" t="s">
        <v>280</v>
      </c>
      <c r="D119" s="4" t="s">
        <v>8</v>
      </c>
      <c r="E119" s="4" t="s">
        <v>330</v>
      </c>
      <c r="F119" s="5">
        <v>0.7</v>
      </c>
      <c r="G119" s="10">
        <v>1.0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U119" s="8">
        <f t="shared" si="1"/>
        <v>0.7</v>
      </c>
      <c r="V119" s="8">
        <f t="shared" si="2"/>
        <v>96</v>
      </c>
      <c r="W119" s="8" t="str">
        <f t="shared" si="3"/>
        <v/>
      </c>
      <c r="X119" s="8" t="str">
        <f t="shared" si="4"/>
        <v>#N/A</v>
      </c>
    </row>
    <row r="120">
      <c r="A120" s="4">
        <f t="shared" si="5"/>
        <v>119</v>
      </c>
      <c r="B120" s="4" t="s">
        <v>285</v>
      </c>
      <c r="C120" s="4" t="s">
        <v>288</v>
      </c>
      <c r="D120" s="4" t="s">
        <v>8</v>
      </c>
      <c r="E120" s="4" t="s">
        <v>458</v>
      </c>
      <c r="F120" s="5">
        <v>1.3</v>
      </c>
      <c r="G120" s="10">
        <v>1.0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U120" s="8">
        <f t="shared" si="1"/>
        <v>1.3</v>
      </c>
      <c r="V120" s="8">
        <f t="shared" si="2"/>
        <v>66</v>
      </c>
      <c r="W120" s="8" t="str">
        <f t="shared" si="3"/>
        <v/>
      </c>
      <c r="X120" s="8" t="str">
        <f t="shared" si="4"/>
        <v>#N/A</v>
      </c>
    </row>
    <row r="121">
      <c r="A121" s="4">
        <f t="shared" si="5"/>
        <v>120</v>
      </c>
      <c r="B121" s="4" t="s">
        <v>273</v>
      </c>
      <c r="C121" s="4" t="s">
        <v>294</v>
      </c>
      <c r="D121" s="4" t="s">
        <v>8</v>
      </c>
      <c r="E121" s="4" t="s">
        <v>141</v>
      </c>
      <c r="F121" s="5">
        <v>0.7</v>
      </c>
      <c r="G121" s="10">
        <v>1.0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U121" s="8">
        <f t="shared" si="1"/>
        <v>0.7</v>
      </c>
      <c r="V121" s="8">
        <f t="shared" si="2"/>
        <v>96</v>
      </c>
      <c r="W121" s="8" t="str">
        <f t="shared" si="3"/>
        <v/>
      </c>
      <c r="X121" s="8" t="str">
        <f t="shared" si="4"/>
        <v>#N/A</v>
      </c>
    </row>
    <row r="122">
      <c r="A122" s="4">
        <f t="shared" si="5"/>
        <v>121</v>
      </c>
      <c r="B122" s="4" t="s">
        <v>286</v>
      </c>
      <c r="C122" s="4" t="s">
        <v>286</v>
      </c>
      <c r="D122" s="4" t="s">
        <v>8</v>
      </c>
      <c r="E122" s="4" t="s">
        <v>344</v>
      </c>
      <c r="F122" s="5">
        <v>0.9</v>
      </c>
      <c r="G122" s="10">
        <v>1.0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U122" s="8">
        <f t="shared" si="1"/>
        <v>0.9</v>
      </c>
      <c r="V122" s="8">
        <f t="shared" si="2"/>
        <v>85</v>
      </c>
      <c r="W122" s="8" t="str">
        <f t="shared" si="3"/>
        <v/>
      </c>
      <c r="X122" s="8" t="str">
        <f t="shared" si="4"/>
        <v>#N/A</v>
      </c>
    </row>
    <row r="123">
      <c r="A123" s="4">
        <f t="shared" si="5"/>
        <v>122</v>
      </c>
      <c r="B123" s="4" t="s">
        <v>287</v>
      </c>
      <c r="C123" s="4" t="s">
        <v>294</v>
      </c>
      <c r="D123" s="4" t="s">
        <v>8</v>
      </c>
      <c r="E123" s="4" t="s">
        <v>244</v>
      </c>
      <c r="F123" s="5">
        <v>0.6</v>
      </c>
      <c r="G123" s="10">
        <v>1.0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U123" s="8">
        <f t="shared" si="1"/>
        <v>0.6</v>
      </c>
      <c r="V123" s="8">
        <f t="shared" si="2"/>
        <v>101</v>
      </c>
      <c r="W123" s="8" t="str">
        <f t="shared" si="3"/>
        <v/>
      </c>
      <c r="X123" s="8" t="str">
        <f t="shared" si="4"/>
        <v>#N/A</v>
      </c>
    </row>
    <row r="124">
      <c r="A124" s="4">
        <f t="shared" si="5"/>
        <v>123</v>
      </c>
      <c r="B124" s="4" t="s">
        <v>284</v>
      </c>
      <c r="C124" s="4" t="s">
        <v>273</v>
      </c>
      <c r="D124" s="4" t="s">
        <v>8</v>
      </c>
      <c r="E124" s="4" t="s">
        <v>459</v>
      </c>
      <c r="F124" s="5">
        <v>1.2</v>
      </c>
      <c r="G124" s="10">
        <v>1.0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U124" s="8">
        <f t="shared" si="1"/>
        <v>1.2</v>
      </c>
      <c r="V124" s="8">
        <f t="shared" si="2"/>
        <v>69</v>
      </c>
      <c r="W124" s="8" t="str">
        <f t="shared" si="3"/>
        <v/>
      </c>
      <c r="X124" s="8" t="str">
        <f t="shared" si="4"/>
        <v>#N/A</v>
      </c>
    </row>
    <row r="125">
      <c r="A125" s="4">
        <f t="shared" si="5"/>
        <v>124</v>
      </c>
      <c r="B125" s="4" t="s">
        <v>294</v>
      </c>
      <c r="C125" s="4" t="s">
        <v>287</v>
      </c>
      <c r="D125" s="4" t="s">
        <v>8</v>
      </c>
      <c r="E125" s="4" t="s">
        <v>146</v>
      </c>
      <c r="F125" s="5">
        <v>1.2</v>
      </c>
      <c r="G125" s="10">
        <v>1.0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U125" s="8">
        <f t="shared" si="1"/>
        <v>1.2</v>
      </c>
      <c r="V125" s="8">
        <f t="shared" si="2"/>
        <v>69</v>
      </c>
      <c r="W125" s="8" t="str">
        <f t="shared" si="3"/>
        <v/>
      </c>
      <c r="X125" s="8" t="str">
        <f t="shared" si="4"/>
        <v>#N/A</v>
      </c>
    </row>
    <row r="126">
      <c r="A126" s="4">
        <f t="shared" si="5"/>
        <v>125</v>
      </c>
      <c r="B126" s="4" t="s">
        <v>281</v>
      </c>
      <c r="C126" s="4" t="s">
        <v>288</v>
      </c>
      <c r="D126" s="4" t="s">
        <v>8</v>
      </c>
      <c r="E126" s="4" t="s">
        <v>460</v>
      </c>
      <c r="F126" s="5">
        <v>1.0</v>
      </c>
      <c r="G126" s="10">
        <v>1.0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U126" s="8">
        <f t="shared" si="1"/>
        <v>1</v>
      </c>
      <c r="V126" s="8">
        <f t="shared" si="2"/>
        <v>79</v>
      </c>
      <c r="W126" s="8" t="str">
        <f t="shared" si="3"/>
        <v/>
      </c>
      <c r="X126" s="8" t="str">
        <f t="shared" si="4"/>
        <v>#N/A</v>
      </c>
    </row>
    <row r="127">
      <c r="A127" s="4">
        <f t="shared" si="5"/>
        <v>126</v>
      </c>
      <c r="B127" s="4" t="s">
        <v>288</v>
      </c>
      <c r="C127" s="4" t="s">
        <v>294</v>
      </c>
      <c r="D127" s="4" t="s">
        <v>8</v>
      </c>
      <c r="E127" s="4" t="s">
        <v>118</v>
      </c>
      <c r="F127" s="5">
        <v>0.8</v>
      </c>
      <c r="G127" s="10">
        <v>1.0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U127" s="8">
        <f t="shared" si="1"/>
        <v>0.8</v>
      </c>
      <c r="V127" s="8">
        <f t="shared" si="2"/>
        <v>91</v>
      </c>
      <c r="W127" s="8" t="str">
        <f t="shared" si="3"/>
        <v/>
      </c>
      <c r="X127" s="8" t="str">
        <f t="shared" si="4"/>
        <v>#N/A</v>
      </c>
    </row>
    <row r="128">
      <c r="A128" s="4">
        <f t="shared" si="5"/>
        <v>127</v>
      </c>
      <c r="B128" s="4" t="s">
        <v>280</v>
      </c>
      <c r="C128" s="4" t="s">
        <v>280</v>
      </c>
      <c r="D128" s="4" t="s">
        <v>8</v>
      </c>
      <c r="E128" s="4" t="s">
        <v>225</v>
      </c>
      <c r="F128" s="5">
        <v>1.2</v>
      </c>
      <c r="G128" s="10">
        <v>2.0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U128" s="8">
        <f t="shared" si="1"/>
        <v>1.2</v>
      </c>
      <c r="V128" s="8">
        <f t="shared" si="2"/>
        <v>69</v>
      </c>
      <c r="W128" s="8" t="str">
        <f t="shared" si="3"/>
        <v/>
      </c>
      <c r="X128" s="8" t="str">
        <f t="shared" si="4"/>
        <v>#N/A</v>
      </c>
    </row>
    <row r="129">
      <c r="A129" s="4">
        <f t="shared" si="5"/>
        <v>128</v>
      </c>
      <c r="B129" s="4" t="s">
        <v>273</v>
      </c>
      <c r="C129" s="4" t="s">
        <v>273</v>
      </c>
      <c r="D129" s="4" t="s">
        <v>8</v>
      </c>
      <c r="E129" s="4" t="s">
        <v>461</v>
      </c>
      <c r="F129" s="5">
        <v>0.5</v>
      </c>
      <c r="G129" s="10">
        <v>1.0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U129" s="8">
        <f t="shared" si="1"/>
        <v>0.5</v>
      </c>
      <c r="V129" s="8">
        <f t="shared" si="2"/>
        <v>110</v>
      </c>
      <c r="W129" s="8" t="str">
        <f t="shared" si="3"/>
        <v/>
      </c>
      <c r="X129" s="8" t="str">
        <f t="shared" si="4"/>
        <v>#N/A</v>
      </c>
    </row>
    <row r="130">
      <c r="A130" s="4">
        <f t="shared" si="5"/>
        <v>129</v>
      </c>
      <c r="B130" s="4" t="s">
        <v>287</v>
      </c>
      <c r="C130" s="4" t="s">
        <v>287</v>
      </c>
      <c r="D130" s="4" t="s">
        <v>8</v>
      </c>
      <c r="E130" s="4" t="s">
        <v>462</v>
      </c>
      <c r="F130" s="5">
        <v>0.8</v>
      </c>
      <c r="G130" s="10">
        <v>1.0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U130" s="8">
        <f t="shared" si="1"/>
        <v>0.8</v>
      </c>
      <c r="V130" s="8">
        <f t="shared" si="2"/>
        <v>91</v>
      </c>
      <c r="W130" s="8" t="str">
        <f t="shared" si="3"/>
        <v/>
      </c>
      <c r="X130" s="8" t="str">
        <f t="shared" si="4"/>
        <v>#N/A</v>
      </c>
    </row>
    <row r="131">
      <c r="A131" s="4">
        <f t="shared" si="5"/>
        <v>130</v>
      </c>
      <c r="B131" s="4" t="s">
        <v>284</v>
      </c>
      <c r="C131" s="4" t="s">
        <v>284</v>
      </c>
      <c r="D131" s="4" t="s">
        <v>8</v>
      </c>
      <c r="E131" s="4" t="s">
        <v>257</v>
      </c>
      <c r="F131" s="5">
        <v>0.6</v>
      </c>
      <c r="G131" s="10">
        <v>1.0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U131" s="8">
        <f t="shared" si="1"/>
        <v>0.6</v>
      </c>
      <c r="V131" s="8">
        <f t="shared" si="2"/>
        <v>101</v>
      </c>
      <c r="W131" s="8" t="str">
        <f t="shared" si="3"/>
        <v/>
      </c>
      <c r="X131" s="8" t="str">
        <f t="shared" si="4"/>
        <v>#N/A</v>
      </c>
    </row>
    <row r="132">
      <c r="A132" s="4">
        <f t="shared" si="5"/>
        <v>131</v>
      </c>
      <c r="B132" s="4" t="s">
        <v>294</v>
      </c>
      <c r="C132" s="4" t="s">
        <v>273</v>
      </c>
      <c r="D132" s="4" t="s">
        <v>8</v>
      </c>
      <c r="E132" s="4" t="s">
        <v>463</v>
      </c>
      <c r="F132" s="5">
        <v>0.8</v>
      </c>
      <c r="G132" s="10">
        <v>1.0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U132" s="8">
        <f t="shared" si="1"/>
        <v>0.8</v>
      </c>
      <c r="V132" s="8">
        <f t="shared" si="2"/>
        <v>91</v>
      </c>
      <c r="W132" s="8" t="str">
        <f t="shared" si="3"/>
        <v/>
      </c>
      <c r="X132" s="8" t="str">
        <f t="shared" si="4"/>
        <v>#N/A</v>
      </c>
    </row>
    <row r="133">
      <c r="A133" s="4">
        <f t="shared" si="5"/>
        <v>132</v>
      </c>
      <c r="B133" s="4" t="s">
        <v>281</v>
      </c>
      <c r="C133" s="4" t="s">
        <v>281</v>
      </c>
      <c r="D133" s="4" t="s">
        <v>8</v>
      </c>
      <c r="E133" s="4" t="s">
        <v>352</v>
      </c>
      <c r="F133" s="5">
        <v>1.5</v>
      </c>
      <c r="G133" s="10">
        <v>1.0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U133" s="8">
        <f t="shared" si="1"/>
        <v>1.5</v>
      </c>
      <c r="V133" s="8">
        <f t="shared" si="2"/>
        <v>62</v>
      </c>
      <c r="W133" s="8" t="str">
        <f t="shared" si="3"/>
        <v/>
      </c>
      <c r="X133" s="8" t="str">
        <f t="shared" si="4"/>
        <v>#N/A</v>
      </c>
    </row>
    <row r="134">
      <c r="A134" s="4">
        <f t="shared" si="5"/>
        <v>133</v>
      </c>
      <c r="B134" s="4" t="s">
        <v>288</v>
      </c>
      <c r="C134" s="4" t="s">
        <v>280</v>
      </c>
      <c r="D134" s="4" t="s">
        <v>8</v>
      </c>
      <c r="E134" s="4" t="s">
        <v>160</v>
      </c>
      <c r="F134" s="5">
        <v>0.6</v>
      </c>
      <c r="G134" s="10">
        <v>1.0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U134" s="8">
        <f t="shared" si="1"/>
        <v>0.6</v>
      </c>
      <c r="V134" s="8">
        <f t="shared" si="2"/>
        <v>101</v>
      </c>
      <c r="W134" s="8" t="str">
        <f t="shared" si="3"/>
        <v/>
      </c>
      <c r="X134" s="8" t="str">
        <f t="shared" si="4"/>
        <v>#N/A</v>
      </c>
    </row>
    <row r="135">
      <c r="A135" s="4">
        <f t="shared" si="5"/>
        <v>134</v>
      </c>
      <c r="B135" s="4" t="s">
        <v>273</v>
      </c>
      <c r="C135" s="4" t="s">
        <v>287</v>
      </c>
      <c r="D135" s="4" t="s">
        <v>8</v>
      </c>
      <c r="E135" s="4" t="s">
        <v>409</v>
      </c>
      <c r="F135" s="5">
        <v>0.6</v>
      </c>
      <c r="G135" s="10">
        <v>1.0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U135" s="8">
        <f t="shared" si="1"/>
        <v>0.6</v>
      </c>
      <c r="V135" s="8">
        <f t="shared" si="2"/>
        <v>101</v>
      </c>
      <c r="W135" s="8" t="str">
        <f t="shared" si="3"/>
        <v/>
      </c>
      <c r="X135" s="8" t="str">
        <f t="shared" si="4"/>
        <v>#N/A</v>
      </c>
    </row>
    <row r="136">
      <c r="A136" s="4">
        <f t="shared" si="5"/>
        <v>135</v>
      </c>
      <c r="B136" s="4" t="s">
        <v>287</v>
      </c>
      <c r="C136" s="4" t="s">
        <v>288</v>
      </c>
      <c r="D136" s="4" t="s">
        <v>8</v>
      </c>
      <c r="E136" s="4" t="s">
        <v>464</v>
      </c>
      <c r="F136" s="5">
        <v>0.6</v>
      </c>
      <c r="G136" s="10">
        <v>1.0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U136" s="8">
        <f t="shared" si="1"/>
        <v>0.6</v>
      </c>
      <c r="V136" s="8">
        <f t="shared" si="2"/>
        <v>101</v>
      </c>
      <c r="W136" s="8" t="str">
        <f t="shared" si="3"/>
        <v/>
      </c>
      <c r="X136" s="8" t="str">
        <f t="shared" si="4"/>
        <v>#N/A</v>
      </c>
    </row>
    <row r="137">
      <c r="A137" s="4">
        <f t="shared" si="5"/>
        <v>136</v>
      </c>
      <c r="B137" s="4" t="s">
        <v>294</v>
      </c>
      <c r="C137" s="4" t="s">
        <v>281</v>
      </c>
      <c r="D137" s="4" t="s">
        <v>8</v>
      </c>
      <c r="E137" s="4" t="s">
        <v>166</v>
      </c>
      <c r="F137" s="5">
        <v>0.6</v>
      </c>
      <c r="G137" s="10">
        <v>1.0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U137" s="8">
        <f t="shared" si="1"/>
        <v>0.6</v>
      </c>
      <c r="V137" s="8">
        <f t="shared" si="2"/>
        <v>101</v>
      </c>
      <c r="W137" s="8" t="str">
        <f t="shared" si="3"/>
        <v/>
      </c>
      <c r="X137" s="8" t="str">
        <f t="shared" si="4"/>
        <v>#N/A</v>
      </c>
    </row>
    <row r="138">
      <c r="A138" s="4">
        <f t="shared" si="5"/>
        <v>137</v>
      </c>
      <c r="B138" s="4" t="s">
        <v>281</v>
      </c>
      <c r="C138" s="4" t="s">
        <v>281</v>
      </c>
      <c r="D138" s="4" t="s">
        <v>8</v>
      </c>
      <c r="E138" s="4" t="s">
        <v>161</v>
      </c>
      <c r="F138" s="5">
        <v>0.9</v>
      </c>
      <c r="G138" s="10">
        <v>1.0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U138" s="8">
        <f t="shared" si="1"/>
        <v>0.9</v>
      </c>
      <c r="V138" s="8">
        <f t="shared" si="2"/>
        <v>85</v>
      </c>
      <c r="W138" s="8" t="str">
        <f t="shared" si="3"/>
        <v/>
      </c>
      <c r="X138" s="8" t="str">
        <f t="shared" si="4"/>
        <v>#N/A</v>
      </c>
    </row>
    <row r="139">
      <c r="A139" s="4">
        <f t="shared" si="5"/>
        <v>138</v>
      </c>
      <c r="B139" s="4" t="s">
        <v>288</v>
      </c>
      <c r="C139" s="4" t="s">
        <v>287</v>
      </c>
      <c r="D139" s="4" t="s">
        <v>8</v>
      </c>
      <c r="E139" s="4" t="s">
        <v>164</v>
      </c>
      <c r="F139" s="5">
        <v>0.6</v>
      </c>
      <c r="G139" s="10">
        <v>1.0</v>
      </c>
      <c r="H139" s="7"/>
      <c r="I139" s="7"/>
      <c r="J139" s="7"/>
      <c r="K139" s="7"/>
      <c r="L139" s="7"/>
      <c r="M139" s="7"/>
      <c r="N139" s="7"/>
      <c r="O139" s="7"/>
      <c r="P139" s="7"/>
      <c r="Q139" s="7"/>
      <c r="U139" s="8">
        <f t="shared" si="1"/>
        <v>0.6</v>
      </c>
      <c r="V139" s="8">
        <f t="shared" si="2"/>
        <v>101</v>
      </c>
      <c r="W139" s="8" t="str">
        <f t="shared" si="3"/>
        <v/>
      </c>
      <c r="X139" s="8" t="str">
        <f t="shared" si="4"/>
        <v>#N/A</v>
      </c>
    </row>
    <row r="140">
      <c r="A140" s="4">
        <f t="shared" si="5"/>
        <v>139</v>
      </c>
      <c r="B140" s="4" t="s">
        <v>273</v>
      </c>
      <c r="C140" s="4" t="s">
        <v>273</v>
      </c>
      <c r="D140" s="4" t="s">
        <v>8</v>
      </c>
      <c r="E140" s="4" t="s">
        <v>422</v>
      </c>
      <c r="F140" s="5">
        <v>0.5</v>
      </c>
      <c r="G140" s="10">
        <v>1.0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U140" s="8">
        <f t="shared" si="1"/>
        <v>0.5</v>
      </c>
      <c r="V140" s="8">
        <f t="shared" si="2"/>
        <v>110</v>
      </c>
      <c r="W140" s="8" t="str">
        <f t="shared" si="3"/>
        <v/>
      </c>
      <c r="X140" s="8" t="str">
        <f t="shared" si="4"/>
        <v>#N/A</v>
      </c>
    </row>
    <row r="141">
      <c r="A141" s="4">
        <f t="shared" si="5"/>
        <v>140</v>
      </c>
      <c r="B141" s="4" t="s">
        <v>294</v>
      </c>
      <c r="C141" s="4" t="s">
        <v>294</v>
      </c>
      <c r="D141" s="4" t="s">
        <v>8</v>
      </c>
      <c r="E141" s="4" t="s">
        <v>107</v>
      </c>
      <c r="F141" s="5">
        <v>0.5</v>
      </c>
      <c r="G141" s="10">
        <v>1.0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  <c r="U141" s="8">
        <f t="shared" si="1"/>
        <v>0.5</v>
      </c>
      <c r="V141" s="8">
        <f t="shared" si="2"/>
        <v>110</v>
      </c>
      <c r="W141" s="8" t="str">
        <f t="shared" si="3"/>
        <v/>
      </c>
      <c r="X141" s="8" t="str">
        <f t="shared" si="4"/>
        <v>#N/A</v>
      </c>
    </row>
    <row r="142">
      <c r="A142" s="4">
        <f t="shared" si="5"/>
        <v>141</v>
      </c>
      <c r="B142" s="4" t="s">
        <v>281</v>
      </c>
      <c r="C142" s="4" t="s">
        <v>273</v>
      </c>
      <c r="D142" s="4" t="s">
        <v>8</v>
      </c>
      <c r="E142" s="4" t="s">
        <v>405</v>
      </c>
      <c r="F142" s="5">
        <v>0.6</v>
      </c>
      <c r="G142" s="10">
        <v>1.0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U142" s="8">
        <f t="shared" si="1"/>
        <v>0.6</v>
      </c>
      <c r="V142" s="8">
        <f t="shared" si="2"/>
        <v>101</v>
      </c>
      <c r="W142" s="8" t="str">
        <f t="shared" si="3"/>
        <v/>
      </c>
      <c r="X142" s="8" t="str">
        <f t="shared" si="4"/>
        <v>#N/A</v>
      </c>
    </row>
    <row r="143">
      <c r="A143" s="4">
        <f t="shared" si="5"/>
        <v>142</v>
      </c>
      <c r="B143" s="4" t="s">
        <v>288</v>
      </c>
      <c r="C143" s="4" t="s">
        <v>288</v>
      </c>
      <c r="D143" s="4" t="s">
        <v>8</v>
      </c>
      <c r="E143" s="4" t="s">
        <v>465</v>
      </c>
      <c r="F143" s="5">
        <v>0.5</v>
      </c>
      <c r="G143" s="10">
        <v>1.0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U143" s="8">
        <f t="shared" si="1"/>
        <v>0.5</v>
      </c>
      <c r="V143" s="8">
        <f t="shared" si="2"/>
        <v>110</v>
      </c>
      <c r="W143" s="8" t="str">
        <f t="shared" si="3"/>
        <v/>
      </c>
      <c r="X143" s="8" t="str">
        <f t="shared" si="4"/>
        <v>#N/A</v>
      </c>
    </row>
    <row r="144">
      <c r="A144" s="4">
        <f t="shared" si="5"/>
        <v>143</v>
      </c>
      <c r="B144" s="4" t="s">
        <v>273</v>
      </c>
      <c r="C144" s="4" t="s">
        <v>273</v>
      </c>
      <c r="D144" s="4" t="s">
        <v>8</v>
      </c>
      <c r="E144" s="4" t="s">
        <v>316</v>
      </c>
      <c r="F144" s="5">
        <v>0.5</v>
      </c>
      <c r="G144" s="10">
        <v>1.0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U144" s="8">
        <f t="shared" si="1"/>
        <v>0.5</v>
      </c>
      <c r="V144" s="8">
        <f t="shared" si="2"/>
        <v>110</v>
      </c>
      <c r="W144" s="8" t="str">
        <f t="shared" si="3"/>
        <v/>
      </c>
      <c r="X144" s="8" t="str">
        <f t="shared" si="4"/>
        <v>#N/A</v>
      </c>
    </row>
    <row r="145">
      <c r="A145" s="4">
        <f t="shared" si="5"/>
        <v>144</v>
      </c>
      <c r="B145" s="4" t="s">
        <v>294</v>
      </c>
      <c r="C145" s="4" t="s">
        <v>294</v>
      </c>
      <c r="D145" s="4" t="s">
        <v>8</v>
      </c>
      <c r="E145" s="4" t="s">
        <v>466</v>
      </c>
      <c r="F145" s="5">
        <v>0.5</v>
      </c>
      <c r="G145" s="10">
        <v>1.0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U145" s="8">
        <f t="shared" si="1"/>
        <v>0.5</v>
      </c>
      <c r="V145" s="8">
        <f t="shared" si="2"/>
        <v>110</v>
      </c>
      <c r="W145" s="8" t="str">
        <f t="shared" si="3"/>
        <v/>
      </c>
      <c r="X145" s="8" t="str">
        <f t="shared" si="4"/>
        <v>#N/A</v>
      </c>
    </row>
    <row r="146">
      <c r="A146" s="4">
        <f t="shared" si="5"/>
        <v>145</v>
      </c>
      <c r="B146" s="4" t="s">
        <v>281</v>
      </c>
      <c r="C146" s="4" t="s">
        <v>281</v>
      </c>
      <c r="D146" s="4" t="s">
        <v>8</v>
      </c>
      <c r="E146" s="4" t="s">
        <v>269</v>
      </c>
      <c r="F146" s="5">
        <v>0.5</v>
      </c>
      <c r="G146" s="10">
        <v>1.0</v>
      </c>
      <c r="H146" s="7"/>
      <c r="I146" s="7"/>
      <c r="J146" s="7"/>
      <c r="K146" s="7"/>
      <c r="L146" s="7"/>
      <c r="M146" s="7"/>
      <c r="N146" s="7"/>
      <c r="O146" s="7"/>
      <c r="P146" s="7"/>
      <c r="Q146" s="7"/>
      <c r="U146" s="8">
        <f t="shared" si="1"/>
        <v>0.5</v>
      </c>
      <c r="V146" s="8">
        <f t="shared" si="2"/>
        <v>110</v>
      </c>
      <c r="W146" s="8" t="str">
        <f t="shared" si="3"/>
        <v/>
      </c>
      <c r="X146" s="8" t="str">
        <f t="shared" si="4"/>
        <v>#N/A</v>
      </c>
    </row>
    <row r="147">
      <c r="A147" s="4">
        <f t="shared" si="5"/>
        <v>146</v>
      </c>
      <c r="B147" s="4" t="s">
        <v>288</v>
      </c>
      <c r="C147" s="4" t="s">
        <v>288</v>
      </c>
      <c r="D147" s="4" t="s">
        <v>8</v>
      </c>
      <c r="E147" s="4" t="s">
        <v>467</v>
      </c>
      <c r="F147" s="5">
        <v>0.5</v>
      </c>
      <c r="G147" s="10">
        <v>5.0</v>
      </c>
      <c r="H147" s="7"/>
      <c r="I147" s="7"/>
      <c r="J147" s="7"/>
      <c r="K147" s="7"/>
      <c r="L147" s="7"/>
      <c r="M147" s="7"/>
      <c r="N147" s="7"/>
      <c r="O147" s="7"/>
      <c r="P147" s="7"/>
      <c r="Q147" s="7"/>
      <c r="U147" s="8">
        <f t="shared" si="1"/>
        <v>0.5</v>
      </c>
      <c r="V147" s="8">
        <f t="shared" si="2"/>
        <v>110</v>
      </c>
      <c r="W147" s="8" t="str">
        <f t="shared" si="3"/>
        <v/>
      </c>
      <c r="X147" s="8" t="str">
        <f t="shared" si="4"/>
        <v>#N/A</v>
      </c>
    </row>
    <row r="148">
      <c r="A148" s="4">
        <f t="shared" si="5"/>
        <v>147</v>
      </c>
      <c r="B148" s="4" t="s">
        <v>273</v>
      </c>
      <c r="C148" s="4" t="s">
        <v>273</v>
      </c>
      <c r="D148" s="4" t="s">
        <v>8</v>
      </c>
      <c r="E148" s="4" t="s">
        <v>419</v>
      </c>
      <c r="F148" s="5">
        <v>0.5</v>
      </c>
      <c r="G148" s="10">
        <v>1.0</v>
      </c>
      <c r="H148" s="7"/>
      <c r="I148" s="7"/>
      <c r="J148" s="7"/>
      <c r="K148" s="7"/>
      <c r="L148" s="7"/>
      <c r="M148" s="7"/>
      <c r="N148" s="7"/>
      <c r="O148" s="7"/>
      <c r="P148" s="7"/>
      <c r="Q148" s="7"/>
      <c r="U148" s="8">
        <f t="shared" si="1"/>
        <v>0.5</v>
      </c>
      <c r="V148" s="8">
        <f t="shared" si="2"/>
        <v>110</v>
      </c>
      <c r="W148" s="8" t="str">
        <f t="shared" si="3"/>
        <v/>
      </c>
      <c r="X148" s="8" t="str">
        <f t="shared" si="4"/>
        <v>#N/A</v>
      </c>
    </row>
    <row r="149">
      <c r="A149" s="4">
        <f t="shared" si="5"/>
        <v>148</v>
      </c>
      <c r="B149" s="4" t="s">
        <v>294</v>
      </c>
      <c r="C149" s="4" t="s">
        <v>294</v>
      </c>
      <c r="D149" s="4" t="s">
        <v>8</v>
      </c>
      <c r="E149" s="4" t="s">
        <v>468</v>
      </c>
      <c r="F149" s="5">
        <v>0.5</v>
      </c>
      <c r="G149" s="10">
        <v>1.0</v>
      </c>
      <c r="H149" s="7"/>
      <c r="I149" s="7"/>
      <c r="J149" s="7"/>
      <c r="K149" s="7"/>
      <c r="L149" s="7"/>
      <c r="M149" s="7"/>
      <c r="N149" s="7"/>
      <c r="O149" s="7"/>
      <c r="P149" s="7"/>
      <c r="Q149" s="7"/>
      <c r="U149" s="8">
        <f t="shared" si="1"/>
        <v>0.5</v>
      </c>
      <c r="V149" s="8">
        <f t="shared" si="2"/>
        <v>110</v>
      </c>
      <c r="W149" s="8" t="str">
        <f t="shared" si="3"/>
        <v/>
      </c>
      <c r="X149" s="8" t="str">
        <f t="shared" si="4"/>
        <v>#N/A</v>
      </c>
    </row>
    <row r="150">
      <c r="A150" s="4">
        <f t="shared" si="5"/>
        <v>149</v>
      </c>
      <c r="B150" s="4" t="s">
        <v>273</v>
      </c>
      <c r="C150" s="4" t="s">
        <v>273</v>
      </c>
      <c r="D150" s="4" t="s">
        <v>8</v>
      </c>
      <c r="E150" s="4" t="s">
        <v>469</v>
      </c>
      <c r="F150" s="5">
        <v>0.5</v>
      </c>
      <c r="G150" s="10">
        <v>1.0</v>
      </c>
      <c r="H150" s="7"/>
      <c r="I150" s="7"/>
      <c r="J150" s="7"/>
      <c r="K150" s="7"/>
      <c r="L150" s="7"/>
      <c r="M150" s="7"/>
      <c r="N150" s="7"/>
      <c r="O150" s="7"/>
      <c r="P150" s="7"/>
      <c r="Q150" s="7"/>
      <c r="U150" s="8">
        <f t="shared" si="1"/>
        <v>0.5</v>
      </c>
      <c r="V150" s="8">
        <f t="shared" si="2"/>
        <v>110</v>
      </c>
      <c r="W150" s="8" t="str">
        <f t="shared" si="3"/>
        <v/>
      </c>
      <c r="X150" s="8" t="str">
        <f t="shared" si="4"/>
        <v>#N/A</v>
      </c>
    </row>
    <row r="151">
      <c r="A151" s="4">
        <f t="shared" si="5"/>
        <v>150</v>
      </c>
      <c r="B151" s="4" t="s">
        <v>294</v>
      </c>
      <c r="C151" s="4" t="s">
        <v>294</v>
      </c>
      <c r="D151" s="4" t="s">
        <v>8</v>
      </c>
      <c r="E151" s="4" t="s">
        <v>240</v>
      </c>
      <c r="F151" s="5">
        <v>0.5</v>
      </c>
      <c r="G151" s="10">
        <v>1.0</v>
      </c>
      <c r="H151" s="7"/>
      <c r="I151" s="7"/>
      <c r="J151" s="7"/>
      <c r="K151" s="7"/>
      <c r="L151" s="7"/>
      <c r="M151" s="7"/>
      <c r="N151" s="7"/>
      <c r="O151" s="7"/>
      <c r="P151" s="7"/>
      <c r="Q151" s="7"/>
      <c r="U151" s="8">
        <f t="shared" si="1"/>
        <v>0.5</v>
      </c>
      <c r="V151" s="8">
        <f t="shared" si="2"/>
        <v>110</v>
      </c>
      <c r="W151" s="8" t="str">
        <f t="shared" si="3"/>
        <v/>
      </c>
      <c r="X151" s="8" t="str">
        <f t="shared" si="4"/>
        <v>#N/A</v>
      </c>
    </row>
    <row r="152">
      <c r="A152" s="4">
        <f t="shared" si="5"/>
        <v>151</v>
      </c>
      <c r="B152" s="4" t="s">
        <v>273</v>
      </c>
      <c r="C152" s="4" t="s">
        <v>273</v>
      </c>
      <c r="D152" s="4" t="s">
        <v>8</v>
      </c>
      <c r="E152" s="4" t="s">
        <v>245</v>
      </c>
      <c r="F152" s="5">
        <v>0.5</v>
      </c>
      <c r="G152" s="10">
        <v>1.0</v>
      </c>
      <c r="H152" s="7"/>
      <c r="I152" s="7"/>
      <c r="J152" s="7"/>
      <c r="K152" s="7"/>
      <c r="L152" s="7"/>
      <c r="M152" s="7"/>
      <c r="N152" s="7"/>
      <c r="O152" s="7"/>
      <c r="P152" s="7"/>
      <c r="Q152" s="7"/>
      <c r="U152" s="8">
        <f t="shared" si="1"/>
        <v>0.5</v>
      </c>
      <c r="V152" s="8">
        <f t="shared" si="2"/>
        <v>110</v>
      </c>
      <c r="W152" s="8" t="str">
        <f t="shared" si="3"/>
        <v/>
      </c>
      <c r="X152" s="8" t="str">
        <f t="shared" si="4"/>
        <v>#N/A</v>
      </c>
    </row>
    <row r="153">
      <c r="A153" s="4"/>
      <c r="B153" s="4"/>
      <c r="C153" s="4"/>
      <c r="D153" s="4"/>
      <c r="E153" s="4"/>
      <c r="F153" s="5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</row>
    <row r="154">
      <c r="A154" s="4"/>
      <c r="B154" s="4"/>
      <c r="C154" s="4"/>
      <c r="D154" s="4"/>
      <c r="E154" s="4"/>
      <c r="F154" s="5"/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</row>
    <row r="155">
      <c r="A155" s="4"/>
      <c r="B155" s="4"/>
      <c r="C155" s="4"/>
      <c r="D155" s="4"/>
      <c r="E155" s="4"/>
      <c r="F155" s="5"/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</row>
    <row r="156">
      <c r="A156" s="4"/>
      <c r="B156" s="4"/>
      <c r="C156" s="4"/>
      <c r="D156" s="4"/>
      <c r="E156" s="4"/>
      <c r="F156" s="5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</row>
    <row r="157">
      <c r="A157" s="4"/>
      <c r="B157" s="4"/>
      <c r="C157" s="4"/>
      <c r="D157" s="4"/>
      <c r="E157" s="4"/>
      <c r="F157" s="5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</row>
    <row r="158">
      <c r="A158" s="4"/>
      <c r="B158" s="4"/>
      <c r="C158" s="4"/>
      <c r="D158" s="4"/>
      <c r="E158" s="4"/>
      <c r="F158" s="5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</row>
    <row r="159">
      <c r="A159" s="4"/>
      <c r="B159" s="4"/>
      <c r="C159" s="4"/>
      <c r="D159" s="4"/>
      <c r="E159" s="4"/>
      <c r="F159" s="5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</row>
    <row r="160">
      <c r="A160" s="4"/>
      <c r="B160" s="4"/>
      <c r="C160" s="4"/>
      <c r="D160" s="4"/>
      <c r="E160" s="4"/>
      <c r="F160" s="5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</row>
    <row r="161">
      <c r="A161" s="4"/>
      <c r="B161" s="4"/>
      <c r="C161" s="4"/>
      <c r="D161" s="4"/>
      <c r="E161" s="4"/>
      <c r="F161" s="5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</row>
    <row r="162">
      <c r="A162" s="4"/>
      <c r="B162" s="4"/>
      <c r="C162" s="4"/>
      <c r="D162" s="4"/>
      <c r="E162" s="4"/>
      <c r="F162" s="5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</row>
    <row r="163">
      <c r="A163" s="4"/>
      <c r="B163" s="4"/>
      <c r="C163" s="4"/>
      <c r="D163" s="4"/>
      <c r="E163" s="4"/>
      <c r="F163" s="5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</row>
    <row r="164">
      <c r="A164" s="4"/>
      <c r="B164" s="4"/>
      <c r="C164" s="4"/>
      <c r="D164" s="4"/>
      <c r="E164" s="4"/>
      <c r="F164" s="5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</row>
    <row r="165">
      <c r="A165" s="4"/>
      <c r="B165" s="4"/>
      <c r="C165" s="4"/>
      <c r="D165" s="4"/>
      <c r="E165" s="4"/>
      <c r="F165" s="5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U1" s="3" t="s">
        <v>8</v>
      </c>
      <c r="V1" s="3" t="s">
        <v>9</v>
      </c>
      <c r="W1" s="3" t="s">
        <v>10</v>
      </c>
      <c r="X1" s="3" t="s">
        <v>11</v>
      </c>
    </row>
    <row r="2">
      <c r="A2" s="4">
        <v>1.0</v>
      </c>
      <c r="B2" s="4" t="s">
        <v>280</v>
      </c>
      <c r="C2" s="4" t="s">
        <v>286</v>
      </c>
      <c r="D2" s="4" t="s">
        <v>10</v>
      </c>
      <c r="E2" s="4" t="s">
        <v>29</v>
      </c>
      <c r="F2" s="5">
        <v>6.5</v>
      </c>
      <c r="G2" s="5">
        <v>5.0</v>
      </c>
      <c r="H2" s="6"/>
      <c r="I2" s="6"/>
      <c r="J2" s="6"/>
      <c r="K2" s="6"/>
      <c r="L2" s="7"/>
      <c r="M2" s="7"/>
      <c r="N2" s="7"/>
      <c r="O2" s="7"/>
      <c r="P2" s="7"/>
      <c r="Q2" s="7"/>
      <c r="U2" s="8" t="str">
        <f t="shared" ref="U2:U173" si="1">if($D2=U$1,$F2,"")</f>
        <v/>
      </c>
      <c r="V2" s="8" t="str">
        <f t="shared" ref="V2:V156" si="2">rank(U2,$U$2:$U$173)</f>
        <v>#N/A</v>
      </c>
      <c r="W2" s="8">
        <f t="shared" ref="W2:W173" si="3">if($D2=W$1,$F2,"")</f>
        <v>6.5</v>
      </c>
      <c r="X2" s="8">
        <f t="shared" ref="X2:X156" si="4">rank(W2,$W$2:$W$173)</f>
        <v>3</v>
      </c>
    </row>
    <row r="3">
      <c r="A3" s="4">
        <f t="shared" ref="A3:A156" si="5">A2+1</f>
        <v>2</v>
      </c>
      <c r="B3" s="4" t="s">
        <v>280</v>
      </c>
      <c r="C3" s="4" t="s">
        <v>285</v>
      </c>
      <c r="D3" s="4" t="s">
        <v>8</v>
      </c>
      <c r="E3" s="4" t="s">
        <v>416</v>
      </c>
      <c r="F3" s="5">
        <v>3.1</v>
      </c>
      <c r="G3" s="5">
        <v>1.0</v>
      </c>
      <c r="H3" s="7"/>
      <c r="I3" s="7"/>
      <c r="J3" s="7"/>
      <c r="K3" s="7"/>
      <c r="L3" s="7"/>
      <c r="M3" s="7"/>
      <c r="N3" s="7"/>
      <c r="O3" s="7"/>
      <c r="P3" s="7"/>
      <c r="Q3" s="7"/>
      <c r="U3" s="8">
        <f t="shared" si="1"/>
        <v>3.1</v>
      </c>
      <c r="V3" s="8">
        <f t="shared" si="2"/>
        <v>32</v>
      </c>
      <c r="W3" s="8" t="str">
        <f t="shared" si="3"/>
        <v/>
      </c>
      <c r="X3" s="8" t="str">
        <f t="shared" si="4"/>
        <v>#N/A</v>
      </c>
    </row>
    <row r="4">
      <c r="A4" s="4">
        <f t="shared" si="5"/>
        <v>3</v>
      </c>
      <c r="B4" s="4" t="s">
        <v>288</v>
      </c>
      <c r="C4" s="4" t="s">
        <v>294</v>
      </c>
      <c r="D4" s="4" t="s">
        <v>10</v>
      </c>
      <c r="E4" s="4" t="s">
        <v>295</v>
      </c>
      <c r="F4" s="5">
        <v>6.8</v>
      </c>
      <c r="G4" s="5">
        <v>3.0</v>
      </c>
      <c r="H4" s="4"/>
      <c r="I4" s="4"/>
      <c r="J4" s="4"/>
      <c r="K4" s="4"/>
      <c r="L4" s="4"/>
      <c r="M4" s="7"/>
      <c r="N4" s="7"/>
      <c r="O4" s="7"/>
      <c r="P4" s="7"/>
      <c r="Q4" s="7"/>
      <c r="U4" s="8" t="str">
        <f t="shared" si="1"/>
        <v/>
      </c>
      <c r="V4" s="8" t="str">
        <f t="shared" si="2"/>
        <v>#N/A</v>
      </c>
      <c r="W4" s="8">
        <f t="shared" si="3"/>
        <v>6.8</v>
      </c>
      <c r="X4" s="8">
        <f t="shared" si="4"/>
        <v>1</v>
      </c>
    </row>
    <row r="5">
      <c r="A5" s="4">
        <f t="shared" si="5"/>
        <v>4</v>
      </c>
      <c r="B5" s="4" t="s">
        <v>288</v>
      </c>
      <c r="C5" s="4" t="s">
        <v>280</v>
      </c>
      <c r="D5" s="4" t="s">
        <v>8</v>
      </c>
      <c r="E5" s="4" t="s">
        <v>124</v>
      </c>
      <c r="F5" s="5">
        <v>6.6</v>
      </c>
      <c r="G5" s="5">
        <v>1.0</v>
      </c>
      <c r="H5" s="7"/>
      <c r="I5" s="7"/>
      <c r="J5" s="7"/>
      <c r="K5" s="7"/>
      <c r="L5" s="7"/>
      <c r="M5" s="7"/>
      <c r="N5" s="7"/>
      <c r="O5" s="7"/>
      <c r="P5" s="7"/>
      <c r="Q5" s="7"/>
      <c r="U5" s="8">
        <f t="shared" si="1"/>
        <v>6.6</v>
      </c>
      <c r="V5" s="8">
        <f t="shared" si="2"/>
        <v>6</v>
      </c>
      <c r="W5" s="8" t="str">
        <f t="shared" si="3"/>
        <v/>
      </c>
      <c r="X5" s="8" t="str">
        <f t="shared" si="4"/>
        <v>#N/A</v>
      </c>
    </row>
    <row r="6">
      <c r="A6" s="4">
        <f t="shared" si="5"/>
        <v>5</v>
      </c>
      <c r="B6" s="4" t="s">
        <v>287</v>
      </c>
      <c r="C6" s="4" t="s">
        <v>281</v>
      </c>
      <c r="D6" s="4" t="s">
        <v>10</v>
      </c>
      <c r="E6" s="4" t="s">
        <v>470</v>
      </c>
      <c r="F6" s="5">
        <v>6.6</v>
      </c>
      <c r="G6" s="5">
        <v>6.0</v>
      </c>
      <c r="H6" s="7"/>
      <c r="I6" s="7"/>
      <c r="J6" s="7"/>
      <c r="K6" s="9"/>
      <c r="L6" s="7"/>
      <c r="M6" s="7"/>
      <c r="N6" s="7"/>
      <c r="O6" s="7"/>
      <c r="P6" s="7"/>
      <c r="Q6" s="7"/>
      <c r="U6" s="8" t="str">
        <f t="shared" si="1"/>
        <v/>
      </c>
      <c r="V6" s="8" t="str">
        <f t="shared" si="2"/>
        <v>#N/A</v>
      </c>
      <c r="W6" s="8">
        <f t="shared" si="3"/>
        <v>6.6</v>
      </c>
      <c r="X6" s="8">
        <f t="shared" si="4"/>
        <v>2</v>
      </c>
    </row>
    <row r="7">
      <c r="A7" s="4">
        <f t="shared" si="5"/>
        <v>6</v>
      </c>
      <c r="B7" s="4" t="s">
        <v>287</v>
      </c>
      <c r="C7" s="4" t="s">
        <v>285</v>
      </c>
      <c r="D7" s="4" t="s">
        <v>8</v>
      </c>
      <c r="E7" s="4" t="s">
        <v>79</v>
      </c>
      <c r="F7" s="5">
        <v>5.2</v>
      </c>
      <c r="G7" s="5">
        <v>1.0</v>
      </c>
      <c r="H7" s="7"/>
      <c r="I7" s="7"/>
      <c r="J7" s="7"/>
      <c r="K7" s="7"/>
      <c r="L7" s="7"/>
      <c r="M7" s="7"/>
      <c r="N7" s="7"/>
      <c r="O7" s="7"/>
      <c r="P7" s="7"/>
      <c r="Q7" s="7"/>
      <c r="U7" s="8">
        <f t="shared" si="1"/>
        <v>5.2</v>
      </c>
      <c r="V7" s="8">
        <f t="shared" si="2"/>
        <v>13</v>
      </c>
      <c r="W7" s="8" t="str">
        <f t="shared" si="3"/>
        <v/>
      </c>
      <c r="X7" s="8" t="str">
        <f t="shared" si="4"/>
        <v>#N/A</v>
      </c>
    </row>
    <row r="8">
      <c r="A8" s="4">
        <f t="shared" si="5"/>
        <v>7</v>
      </c>
      <c r="B8" s="4" t="s">
        <v>284</v>
      </c>
      <c r="C8" s="4" t="s">
        <v>287</v>
      </c>
      <c r="D8" s="4" t="s">
        <v>10</v>
      </c>
      <c r="E8" s="4" t="s">
        <v>83</v>
      </c>
      <c r="F8" s="5">
        <v>5.6</v>
      </c>
      <c r="G8" s="5">
        <v>3.0</v>
      </c>
      <c r="H8" s="6"/>
      <c r="I8" s="7"/>
      <c r="J8" s="7"/>
      <c r="K8" s="7"/>
      <c r="L8" s="7"/>
      <c r="M8" s="7"/>
      <c r="N8" s="7"/>
      <c r="O8" s="7"/>
      <c r="P8" s="7"/>
      <c r="Q8" s="7"/>
      <c r="U8" s="8" t="str">
        <f t="shared" si="1"/>
        <v/>
      </c>
      <c r="V8" s="8" t="str">
        <f t="shared" si="2"/>
        <v>#N/A</v>
      </c>
      <c r="W8" s="8">
        <f t="shared" si="3"/>
        <v>5.6</v>
      </c>
      <c r="X8" s="8">
        <f t="shared" si="4"/>
        <v>6</v>
      </c>
    </row>
    <row r="9">
      <c r="A9" s="4">
        <f t="shared" si="5"/>
        <v>8</v>
      </c>
      <c r="B9" s="4" t="s">
        <v>284</v>
      </c>
      <c r="C9" s="4" t="s">
        <v>287</v>
      </c>
      <c r="D9" s="4" t="s">
        <v>8</v>
      </c>
      <c r="E9" s="4" t="s">
        <v>30</v>
      </c>
      <c r="F9" s="5">
        <v>9.0</v>
      </c>
      <c r="G9" s="5">
        <v>1.0</v>
      </c>
      <c r="H9" s="7"/>
      <c r="I9" s="7"/>
      <c r="J9" s="7"/>
      <c r="K9" s="7"/>
      <c r="L9" s="7"/>
      <c r="M9" s="7"/>
      <c r="N9" s="7"/>
      <c r="O9" s="7"/>
      <c r="P9" s="7"/>
      <c r="Q9" s="7"/>
      <c r="U9" s="8">
        <f t="shared" si="1"/>
        <v>9</v>
      </c>
      <c r="V9" s="8">
        <f t="shared" si="2"/>
        <v>1</v>
      </c>
      <c r="W9" s="8" t="str">
        <f t="shared" si="3"/>
        <v/>
      </c>
      <c r="X9" s="8" t="str">
        <f t="shared" si="4"/>
        <v>#N/A</v>
      </c>
    </row>
    <row r="10">
      <c r="A10" s="4">
        <f t="shared" si="5"/>
        <v>9</v>
      </c>
      <c r="B10" s="4" t="s">
        <v>281</v>
      </c>
      <c r="C10" s="4" t="s">
        <v>280</v>
      </c>
      <c r="D10" s="4" t="s">
        <v>10</v>
      </c>
      <c r="E10" s="4" t="s">
        <v>191</v>
      </c>
      <c r="F10" s="5">
        <v>5.4</v>
      </c>
      <c r="G10" s="5">
        <v>4.0</v>
      </c>
      <c r="H10" s="6"/>
      <c r="I10" s="6"/>
      <c r="J10" s="7"/>
      <c r="K10" s="7"/>
      <c r="L10" s="7"/>
      <c r="M10" s="7"/>
      <c r="N10" s="7"/>
      <c r="O10" s="7"/>
      <c r="P10" s="7"/>
      <c r="Q10" s="7"/>
      <c r="U10" s="8" t="str">
        <f t="shared" si="1"/>
        <v/>
      </c>
      <c r="V10" s="8" t="str">
        <f t="shared" si="2"/>
        <v>#N/A</v>
      </c>
      <c r="W10" s="8">
        <f t="shared" si="3"/>
        <v>5.4</v>
      </c>
      <c r="X10" s="8">
        <f t="shared" si="4"/>
        <v>7</v>
      </c>
    </row>
    <row r="11">
      <c r="A11" s="4">
        <f t="shared" si="5"/>
        <v>10</v>
      </c>
      <c r="B11" s="4" t="s">
        <v>281</v>
      </c>
      <c r="C11" s="4" t="s">
        <v>288</v>
      </c>
      <c r="D11" s="4" t="s">
        <v>8</v>
      </c>
      <c r="E11" s="4" t="s">
        <v>106</v>
      </c>
      <c r="F11" s="5">
        <v>8.6</v>
      </c>
      <c r="G11" s="5">
        <v>1.0</v>
      </c>
      <c r="H11" s="7"/>
      <c r="I11" s="7"/>
      <c r="J11" s="7"/>
      <c r="K11" s="7"/>
      <c r="L11" s="7"/>
      <c r="M11" s="7"/>
      <c r="N11" s="7"/>
      <c r="O11" s="7"/>
      <c r="P11" s="7"/>
      <c r="Q11" s="7"/>
      <c r="U11" s="8">
        <f t="shared" si="1"/>
        <v>8.6</v>
      </c>
      <c r="V11" s="8">
        <f t="shared" si="2"/>
        <v>2</v>
      </c>
      <c r="W11" s="8" t="str">
        <f t="shared" si="3"/>
        <v/>
      </c>
      <c r="X11" s="8" t="str">
        <f t="shared" si="4"/>
        <v>#N/A</v>
      </c>
    </row>
    <row r="12">
      <c r="A12" s="4">
        <f t="shared" si="5"/>
        <v>11</v>
      </c>
      <c r="B12" s="4" t="s">
        <v>294</v>
      </c>
      <c r="C12" s="4" t="s">
        <v>274</v>
      </c>
      <c r="D12" s="4" t="s">
        <v>10</v>
      </c>
      <c r="E12" s="4" t="s">
        <v>369</v>
      </c>
      <c r="F12" s="5">
        <v>4.8</v>
      </c>
      <c r="G12" s="5">
        <v>2.0</v>
      </c>
      <c r="H12" s="7"/>
      <c r="I12" s="7"/>
      <c r="J12" s="7"/>
      <c r="K12" s="7"/>
      <c r="L12" s="7"/>
      <c r="M12" s="7"/>
      <c r="N12" s="7"/>
      <c r="O12" s="7"/>
      <c r="P12" s="7"/>
      <c r="Q12" s="7"/>
      <c r="U12" s="8" t="str">
        <f t="shared" si="1"/>
        <v/>
      </c>
      <c r="V12" s="8" t="str">
        <f t="shared" si="2"/>
        <v>#N/A</v>
      </c>
      <c r="W12" s="8">
        <f t="shared" si="3"/>
        <v>4.8</v>
      </c>
      <c r="X12" s="8">
        <f t="shared" si="4"/>
        <v>9</v>
      </c>
    </row>
    <row r="13">
      <c r="A13" s="4">
        <f t="shared" si="5"/>
        <v>12</v>
      </c>
      <c r="B13" s="4" t="s">
        <v>294</v>
      </c>
      <c r="C13" s="4" t="s">
        <v>273</v>
      </c>
      <c r="D13" s="4" t="s">
        <v>8</v>
      </c>
      <c r="E13" s="4" t="s">
        <v>317</v>
      </c>
      <c r="F13" s="5">
        <v>4.0</v>
      </c>
      <c r="G13" s="5">
        <v>1.0</v>
      </c>
      <c r="H13" s="7"/>
      <c r="I13" s="7"/>
      <c r="J13" s="7"/>
      <c r="K13" s="7"/>
      <c r="L13" s="7"/>
      <c r="M13" s="7"/>
      <c r="N13" s="7"/>
      <c r="O13" s="7"/>
      <c r="P13" s="7"/>
      <c r="Q13" s="7"/>
      <c r="U13" s="8">
        <f t="shared" si="1"/>
        <v>4</v>
      </c>
      <c r="V13" s="8">
        <f t="shared" si="2"/>
        <v>23</v>
      </c>
      <c r="W13" s="8" t="str">
        <f t="shared" si="3"/>
        <v/>
      </c>
      <c r="X13" s="8" t="str">
        <f t="shared" si="4"/>
        <v>#N/A</v>
      </c>
    </row>
    <row r="14">
      <c r="A14" s="4">
        <f t="shared" si="5"/>
        <v>13</v>
      </c>
      <c r="B14" s="4" t="s">
        <v>286</v>
      </c>
      <c r="C14" s="4" t="s">
        <v>293</v>
      </c>
      <c r="D14" s="4" t="s">
        <v>10</v>
      </c>
      <c r="E14" s="4" t="s">
        <v>272</v>
      </c>
      <c r="F14" s="5">
        <v>3.3</v>
      </c>
      <c r="G14" s="5">
        <v>3.0</v>
      </c>
      <c r="H14" s="6"/>
      <c r="I14" s="6"/>
      <c r="J14" s="6"/>
      <c r="K14" s="6"/>
      <c r="L14" s="7"/>
      <c r="M14" s="7"/>
      <c r="N14" s="7"/>
      <c r="O14" s="7"/>
      <c r="P14" s="7"/>
      <c r="Q14" s="7"/>
      <c r="U14" s="8" t="str">
        <f t="shared" si="1"/>
        <v/>
      </c>
      <c r="V14" s="8" t="str">
        <f t="shared" si="2"/>
        <v>#N/A</v>
      </c>
      <c r="W14" s="8">
        <f t="shared" si="3"/>
        <v>3.3</v>
      </c>
      <c r="X14" s="8">
        <f t="shared" si="4"/>
        <v>13</v>
      </c>
    </row>
    <row r="15">
      <c r="A15" s="4">
        <f t="shared" si="5"/>
        <v>14</v>
      </c>
      <c r="B15" s="4" t="s">
        <v>286</v>
      </c>
      <c r="C15" s="4" t="s">
        <v>280</v>
      </c>
      <c r="D15" s="4" t="s">
        <v>8</v>
      </c>
      <c r="E15" s="4" t="s">
        <v>97</v>
      </c>
      <c r="F15" s="5">
        <v>7.8</v>
      </c>
      <c r="G15" s="5">
        <v>1.0</v>
      </c>
      <c r="H15" s="7"/>
      <c r="I15" s="7"/>
      <c r="J15" s="7"/>
      <c r="K15" s="7"/>
      <c r="L15" s="7"/>
      <c r="M15" s="7"/>
      <c r="N15" s="7"/>
      <c r="O15" s="7"/>
      <c r="P15" s="7"/>
      <c r="Q15" s="7"/>
      <c r="U15" s="8">
        <f t="shared" si="1"/>
        <v>7.8</v>
      </c>
      <c r="V15" s="8">
        <f t="shared" si="2"/>
        <v>3</v>
      </c>
      <c r="W15" s="8" t="str">
        <f t="shared" si="3"/>
        <v/>
      </c>
      <c r="X15" s="8" t="str">
        <f t="shared" si="4"/>
        <v>#N/A</v>
      </c>
    </row>
    <row r="16">
      <c r="A16" s="4">
        <f t="shared" si="5"/>
        <v>15</v>
      </c>
      <c r="B16" s="4" t="s">
        <v>293</v>
      </c>
      <c r="C16" s="4" t="s">
        <v>281</v>
      </c>
      <c r="D16" s="4" t="s">
        <v>8</v>
      </c>
      <c r="E16" s="4" t="s">
        <v>126</v>
      </c>
      <c r="F16" s="5">
        <v>6.6</v>
      </c>
      <c r="G16" s="5">
        <v>1.0</v>
      </c>
      <c r="H16" s="7"/>
      <c r="I16" s="7"/>
      <c r="J16" s="7"/>
      <c r="K16" s="7"/>
      <c r="L16" s="7"/>
      <c r="M16" s="7"/>
      <c r="N16" s="7"/>
      <c r="O16" s="7"/>
      <c r="P16" s="7"/>
      <c r="Q16" s="7"/>
      <c r="U16" s="8">
        <f t="shared" si="1"/>
        <v>6.6</v>
      </c>
      <c r="V16" s="8">
        <f t="shared" si="2"/>
        <v>6</v>
      </c>
      <c r="W16" s="8" t="str">
        <f t="shared" si="3"/>
        <v/>
      </c>
      <c r="X16" s="8" t="str">
        <f t="shared" si="4"/>
        <v>#N/A</v>
      </c>
    </row>
    <row r="17">
      <c r="A17" s="4">
        <f t="shared" si="5"/>
        <v>16</v>
      </c>
      <c r="B17" s="4" t="s">
        <v>274</v>
      </c>
      <c r="C17" s="4" t="s">
        <v>287</v>
      </c>
      <c r="D17" s="4" t="s">
        <v>8</v>
      </c>
      <c r="E17" s="4" t="s">
        <v>333</v>
      </c>
      <c r="F17" s="5">
        <v>4.0</v>
      </c>
      <c r="G17" s="5">
        <v>1.0</v>
      </c>
      <c r="H17" s="7"/>
      <c r="I17" s="7"/>
      <c r="J17" s="7"/>
      <c r="K17" s="7"/>
      <c r="L17" s="7"/>
      <c r="M17" s="7"/>
      <c r="N17" s="7"/>
      <c r="O17" s="7"/>
      <c r="P17" s="7"/>
      <c r="Q17" s="7"/>
      <c r="U17" s="8">
        <f t="shared" si="1"/>
        <v>4</v>
      </c>
      <c r="V17" s="8">
        <f t="shared" si="2"/>
        <v>23</v>
      </c>
      <c r="W17" s="8" t="str">
        <f t="shared" si="3"/>
        <v/>
      </c>
      <c r="X17" s="8" t="str">
        <f t="shared" si="4"/>
        <v>#N/A</v>
      </c>
    </row>
    <row r="18">
      <c r="A18" s="4">
        <f t="shared" si="5"/>
        <v>17</v>
      </c>
      <c r="B18" s="4" t="s">
        <v>273</v>
      </c>
      <c r="C18" s="4" t="s">
        <v>288</v>
      </c>
      <c r="D18" s="4" t="s">
        <v>10</v>
      </c>
      <c r="E18" s="4" t="s">
        <v>28</v>
      </c>
      <c r="F18" s="5">
        <v>1.2</v>
      </c>
      <c r="G18" s="5">
        <v>1.0</v>
      </c>
      <c r="H18" s="7"/>
      <c r="I18" s="7"/>
      <c r="J18" s="7"/>
      <c r="K18" s="7"/>
      <c r="L18" s="7"/>
      <c r="M18" s="7"/>
      <c r="N18" s="7"/>
      <c r="O18" s="7"/>
      <c r="P18" s="7"/>
      <c r="Q18" s="7"/>
      <c r="U18" s="8" t="str">
        <f t="shared" si="1"/>
        <v/>
      </c>
      <c r="V18" s="8" t="str">
        <f t="shared" si="2"/>
        <v>#N/A</v>
      </c>
      <c r="W18" s="8">
        <f t="shared" si="3"/>
        <v>1.2</v>
      </c>
      <c r="X18" s="8">
        <f t="shared" si="4"/>
        <v>27</v>
      </c>
    </row>
    <row r="19">
      <c r="A19" s="4">
        <f t="shared" si="5"/>
        <v>18</v>
      </c>
      <c r="B19" s="4" t="s">
        <v>273</v>
      </c>
      <c r="C19" s="4" t="s">
        <v>281</v>
      </c>
      <c r="D19" s="4" t="s">
        <v>8</v>
      </c>
      <c r="E19" s="4" t="s">
        <v>216</v>
      </c>
      <c r="F19" s="5">
        <v>6.5</v>
      </c>
      <c r="G19" s="5">
        <v>1.0</v>
      </c>
      <c r="H19" s="7"/>
      <c r="I19" s="7"/>
      <c r="J19" s="7"/>
      <c r="K19" s="7"/>
      <c r="L19" s="7"/>
      <c r="M19" s="7"/>
      <c r="N19" s="7"/>
      <c r="O19" s="7"/>
      <c r="P19" s="7"/>
      <c r="Q19" s="7"/>
      <c r="U19" s="8">
        <f t="shared" si="1"/>
        <v>6.5</v>
      </c>
      <c r="V19" s="8">
        <f t="shared" si="2"/>
        <v>8</v>
      </c>
      <c r="W19" s="8" t="str">
        <f t="shared" si="3"/>
        <v/>
      </c>
      <c r="X19" s="8" t="str">
        <f t="shared" si="4"/>
        <v>#N/A</v>
      </c>
    </row>
    <row r="20">
      <c r="A20" s="4">
        <f t="shared" si="5"/>
        <v>19</v>
      </c>
      <c r="B20" s="4" t="s">
        <v>285</v>
      </c>
      <c r="C20" s="4" t="s">
        <v>286</v>
      </c>
      <c r="D20" s="4" t="s">
        <v>10</v>
      </c>
      <c r="E20" s="4" t="s">
        <v>14</v>
      </c>
      <c r="F20" s="5">
        <v>6.4</v>
      </c>
      <c r="G20" s="5">
        <v>5.0</v>
      </c>
      <c r="H20" s="7"/>
      <c r="I20" s="7"/>
      <c r="J20" s="7"/>
      <c r="K20" s="7"/>
      <c r="L20" s="7"/>
      <c r="M20" s="7"/>
      <c r="N20" s="7"/>
      <c r="O20" s="7"/>
      <c r="P20" s="7"/>
      <c r="Q20" s="7"/>
      <c r="U20" s="8" t="str">
        <f t="shared" si="1"/>
        <v/>
      </c>
      <c r="V20" s="8" t="str">
        <f t="shared" si="2"/>
        <v>#N/A</v>
      </c>
      <c r="W20" s="8">
        <f t="shared" si="3"/>
        <v>6.4</v>
      </c>
      <c r="X20" s="8">
        <f t="shared" si="4"/>
        <v>5</v>
      </c>
    </row>
    <row r="21">
      <c r="A21" s="4">
        <f t="shared" si="5"/>
        <v>20</v>
      </c>
      <c r="B21" s="4" t="s">
        <v>285</v>
      </c>
      <c r="C21" s="4" t="s">
        <v>285</v>
      </c>
      <c r="D21" s="4" t="s">
        <v>8</v>
      </c>
      <c r="E21" s="4" t="s">
        <v>208</v>
      </c>
      <c r="F21" s="5">
        <v>4.7</v>
      </c>
      <c r="G21" s="5">
        <v>1.0</v>
      </c>
      <c r="H21" s="6"/>
      <c r="I21" s="6"/>
      <c r="J21" s="6"/>
      <c r="K21" s="7"/>
      <c r="L21" s="7"/>
      <c r="M21" s="7"/>
      <c r="N21" s="7"/>
      <c r="O21" s="7"/>
      <c r="P21" s="7"/>
      <c r="Q21" s="7"/>
      <c r="U21" s="8">
        <f t="shared" si="1"/>
        <v>4.7</v>
      </c>
      <c r="V21" s="8">
        <f t="shared" si="2"/>
        <v>15</v>
      </c>
      <c r="W21" s="8" t="str">
        <f t="shared" si="3"/>
        <v/>
      </c>
      <c r="X21" s="8" t="str">
        <f t="shared" si="4"/>
        <v>#N/A</v>
      </c>
    </row>
    <row r="22">
      <c r="A22" s="4">
        <f t="shared" si="5"/>
        <v>21</v>
      </c>
      <c r="B22" s="4" t="s">
        <v>280</v>
      </c>
      <c r="C22" s="4" t="s">
        <v>284</v>
      </c>
      <c r="D22" s="4" t="s">
        <v>10</v>
      </c>
      <c r="E22" s="4" t="s">
        <v>174</v>
      </c>
      <c r="F22" s="5">
        <v>3.3</v>
      </c>
      <c r="G22" s="5">
        <v>3.0</v>
      </c>
      <c r="H22" s="7"/>
      <c r="I22" s="7"/>
      <c r="J22" s="7"/>
      <c r="K22" s="7"/>
      <c r="L22" s="7"/>
      <c r="M22" s="7"/>
      <c r="N22" s="7"/>
      <c r="O22" s="7"/>
      <c r="P22" s="7"/>
      <c r="Q22" s="7"/>
      <c r="U22" s="8" t="str">
        <f t="shared" si="1"/>
        <v/>
      </c>
      <c r="V22" s="8" t="str">
        <f t="shared" si="2"/>
        <v>#N/A</v>
      </c>
      <c r="W22" s="8">
        <f t="shared" si="3"/>
        <v>3.3</v>
      </c>
      <c r="X22" s="8">
        <f t="shared" si="4"/>
        <v>13</v>
      </c>
    </row>
    <row r="23">
      <c r="A23" s="4">
        <f t="shared" si="5"/>
        <v>22</v>
      </c>
      <c r="B23" s="4" t="s">
        <v>280</v>
      </c>
      <c r="C23" s="4" t="s">
        <v>287</v>
      </c>
      <c r="D23" s="4" t="s">
        <v>8</v>
      </c>
      <c r="E23" s="4" t="s">
        <v>440</v>
      </c>
      <c r="F23" s="5">
        <v>5.3</v>
      </c>
      <c r="G23" s="5">
        <v>1.0</v>
      </c>
      <c r="H23" s="7"/>
      <c r="I23" s="7"/>
      <c r="J23" s="7"/>
      <c r="K23" s="7"/>
      <c r="L23" s="7"/>
      <c r="M23" s="7"/>
      <c r="N23" s="7"/>
      <c r="O23" s="7"/>
      <c r="P23" s="7"/>
      <c r="Q23" s="7"/>
      <c r="U23" s="8">
        <f t="shared" si="1"/>
        <v>5.3</v>
      </c>
      <c r="V23" s="8">
        <f t="shared" si="2"/>
        <v>12</v>
      </c>
      <c r="W23" s="8" t="str">
        <f t="shared" si="3"/>
        <v/>
      </c>
      <c r="X23" s="8" t="str">
        <f t="shared" si="4"/>
        <v>#N/A</v>
      </c>
    </row>
    <row r="24">
      <c r="A24" s="4">
        <f t="shared" si="5"/>
        <v>23</v>
      </c>
      <c r="B24" s="4" t="s">
        <v>288</v>
      </c>
      <c r="C24" s="4" t="s">
        <v>280</v>
      </c>
      <c r="D24" s="4" t="s">
        <v>10</v>
      </c>
      <c r="E24" s="4" t="s">
        <v>415</v>
      </c>
      <c r="F24" s="5">
        <v>1.7</v>
      </c>
      <c r="G24" s="5">
        <v>2.0</v>
      </c>
      <c r="H24" s="7"/>
      <c r="I24" s="7"/>
      <c r="J24" s="7"/>
      <c r="K24" s="7"/>
      <c r="L24" s="7"/>
      <c r="M24" s="7"/>
      <c r="N24" s="7"/>
      <c r="O24" s="7"/>
      <c r="P24" s="7"/>
      <c r="Q24" s="7"/>
      <c r="U24" s="8" t="str">
        <f t="shared" si="1"/>
        <v/>
      </c>
      <c r="V24" s="8" t="str">
        <f t="shared" si="2"/>
        <v>#N/A</v>
      </c>
      <c r="W24" s="8">
        <f t="shared" si="3"/>
        <v>1.7</v>
      </c>
      <c r="X24" s="8">
        <f t="shared" si="4"/>
        <v>23</v>
      </c>
    </row>
    <row r="25">
      <c r="A25" s="4">
        <f t="shared" si="5"/>
        <v>24</v>
      </c>
      <c r="B25" s="4" t="s">
        <v>288</v>
      </c>
      <c r="C25" s="4" t="s">
        <v>273</v>
      </c>
      <c r="D25" s="4" t="s">
        <v>8</v>
      </c>
      <c r="E25" s="4" t="s">
        <v>50</v>
      </c>
      <c r="F25" s="5">
        <v>7.3</v>
      </c>
      <c r="G25" s="5">
        <v>1.0</v>
      </c>
      <c r="H25" s="6"/>
      <c r="I25" s="6"/>
      <c r="J25" s="6"/>
      <c r="K25" s="6"/>
      <c r="L25" s="7"/>
      <c r="M25" s="7"/>
      <c r="N25" s="7"/>
      <c r="O25" s="7"/>
      <c r="P25" s="7"/>
      <c r="Q25" s="7"/>
      <c r="U25" s="8">
        <f t="shared" si="1"/>
        <v>7.3</v>
      </c>
      <c r="V25" s="8">
        <f t="shared" si="2"/>
        <v>4</v>
      </c>
      <c r="W25" s="8" t="str">
        <f t="shared" si="3"/>
        <v/>
      </c>
      <c r="X25" s="8" t="str">
        <f t="shared" si="4"/>
        <v>#N/A</v>
      </c>
    </row>
    <row r="26">
      <c r="A26" s="4">
        <f t="shared" si="5"/>
        <v>25</v>
      </c>
      <c r="B26" s="4" t="s">
        <v>287</v>
      </c>
      <c r="C26" s="4" t="s">
        <v>284</v>
      </c>
      <c r="D26" s="4" t="s">
        <v>10</v>
      </c>
      <c r="E26" s="4" t="s">
        <v>76</v>
      </c>
      <c r="F26" s="5">
        <v>3.5</v>
      </c>
      <c r="G26" s="5">
        <v>2.0</v>
      </c>
      <c r="H26" s="7"/>
      <c r="I26" s="7"/>
      <c r="J26" s="7"/>
      <c r="K26" s="7"/>
      <c r="L26" s="7"/>
      <c r="M26" s="7"/>
      <c r="N26" s="7"/>
      <c r="O26" s="7"/>
      <c r="P26" s="7"/>
      <c r="Q26" s="7"/>
      <c r="U26" s="8" t="str">
        <f t="shared" si="1"/>
        <v/>
      </c>
      <c r="V26" s="8" t="str">
        <f t="shared" si="2"/>
        <v>#N/A</v>
      </c>
      <c r="W26" s="8">
        <f t="shared" si="3"/>
        <v>3.5</v>
      </c>
      <c r="X26" s="8">
        <f t="shared" si="4"/>
        <v>11</v>
      </c>
    </row>
    <row r="27">
      <c r="A27" s="4">
        <f t="shared" si="5"/>
        <v>26</v>
      </c>
      <c r="B27" s="4" t="s">
        <v>287</v>
      </c>
      <c r="C27" s="4" t="s">
        <v>288</v>
      </c>
      <c r="D27" s="4" t="s">
        <v>8</v>
      </c>
      <c r="E27" s="4" t="s">
        <v>173</v>
      </c>
      <c r="F27" s="5">
        <v>4.3</v>
      </c>
      <c r="G27" s="5">
        <v>1.0</v>
      </c>
      <c r="H27" s="6"/>
      <c r="I27" s="6"/>
      <c r="J27" s="6"/>
      <c r="K27" s="6"/>
      <c r="L27" s="7"/>
      <c r="M27" s="7"/>
      <c r="N27" s="7"/>
      <c r="O27" s="7"/>
      <c r="P27" s="7"/>
      <c r="Q27" s="7"/>
      <c r="U27" s="8">
        <f t="shared" si="1"/>
        <v>4.3</v>
      </c>
      <c r="V27" s="8">
        <f t="shared" si="2"/>
        <v>18</v>
      </c>
      <c r="W27" s="8" t="str">
        <f t="shared" si="3"/>
        <v/>
      </c>
      <c r="X27" s="8" t="str">
        <f t="shared" si="4"/>
        <v>#N/A</v>
      </c>
    </row>
    <row r="28">
      <c r="A28" s="4">
        <f t="shared" si="5"/>
        <v>27</v>
      </c>
      <c r="B28" s="4" t="s">
        <v>284</v>
      </c>
      <c r="C28" s="4" t="s">
        <v>281</v>
      </c>
      <c r="D28" s="4" t="s">
        <v>10</v>
      </c>
      <c r="E28" s="4" t="s">
        <v>471</v>
      </c>
      <c r="F28" s="5">
        <v>4.9</v>
      </c>
      <c r="G28" s="5">
        <v>4.0</v>
      </c>
      <c r="H28" s="7"/>
      <c r="I28" s="7"/>
      <c r="J28" s="7"/>
      <c r="K28" s="7"/>
      <c r="L28" s="7"/>
      <c r="M28" s="7"/>
      <c r="N28" s="7"/>
      <c r="O28" s="7"/>
      <c r="P28" s="7"/>
      <c r="Q28" s="7"/>
      <c r="U28" s="8" t="str">
        <f t="shared" si="1"/>
        <v/>
      </c>
      <c r="V28" s="8" t="str">
        <f t="shared" si="2"/>
        <v>#N/A</v>
      </c>
      <c r="W28" s="8">
        <f t="shared" si="3"/>
        <v>4.9</v>
      </c>
      <c r="X28" s="8">
        <f t="shared" si="4"/>
        <v>8</v>
      </c>
    </row>
    <row r="29">
      <c r="A29" s="4">
        <f t="shared" si="5"/>
        <v>28</v>
      </c>
      <c r="B29" s="4" t="s">
        <v>284</v>
      </c>
      <c r="C29" s="4" t="s">
        <v>274</v>
      </c>
      <c r="D29" s="4" t="s">
        <v>8</v>
      </c>
      <c r="E29" s="4" t="s">
        <v>40</v>
      </c>
      <c r="F29" s="5">
        <v>4.1</v>
      </c>
      <c r="G29" s="5">
        <v>1.0</v>
      </c>
      <c r="H29" s="7"/>
      <c r="I29" s="7"/>
      <c r="J29" s="7"/>
      <c r="K29" s="7"/>
      <c r="L29" s="7"/>
      <c r="M29" s="7"/>
      <c r="N29" s="7"/>
      <c r="O29" s="7"/>
      <c r="P29" s="7"/>
      <c r="Q29" s="7"/>
      <c r="U29" s="8">
        <f t="shared" si="1"/>
        <v>4.1</v>
      </c>
      <c r="V29" s="8">
        <f t="shared" si="2"/>
        <v>22</v>
      </c>
      <c r="W29" s="8" t="str">
        <f t="shared" si="3"/>
        <v/>
      </c>
      <c r="X29" s="8" t="str">
        <f t="shared" si="4"/>
        <v>#N/A</v>
      </c>
    </row>
    <row r="30">
      <c r="A30" s="4">
        <f t="shared" si="5"/>
        <v>29</v>
      </c>
      <c r="B30" s="4" t="s">
        <v>281</v>
      </c>
      <c r="C30" s="4" t="s">
        <v>273</v>
      </c>
      <c r="D30" s="4" t="s">
        <v>10</v>
      </c>
      <c r="E30" s="4" t="s">
        <v>472</v>
      </c>
      <c r="F30" s="5">
        <v>3.8</v>
      </c>
      <c r="G30" s="5">
        <v>4.0</v>
      </c>
      <c r="H30" s="11"/>
      <c r="I30" s="7"/>
      <c r="J30" s="7"/>
      <c r="K30" s="7"/>
      <c r="L30" s="7"/>
      <c r="M30" s="7"/>
      <c r="N30" s="7"/>
      <c r="O30" s="7"/>
      <c r="P30" s="7"/>
      <c r="Q30" s="7"/>
      <c r="U30" s="8" t="str">
        <f t="shared" si="1"/>
        <v/>
      </c>
      <c r="V30" s="8" t="str">
        <f t="shared" si="2"/>
        <v>#N/A</v>
      </c>
      <c r="W30" s="8">
        <f t="shared" si="3"/>
        <v>3.8</v>
      </c>
      <c r="X30" s="8">
        <f t="shared" si="4"/>
        <v>10</v>
      </c>
    </row>
    <row r="31">
      <c r="A31" s="4">
        <f t="shared" si="5"/>
        <v>30</v>
      </c>
      <c r="B31" s="4" t="s">
        <v>281</v>
      </c>
      <c r="C31" s="4" t="s">
        <v>273</v>
      </c>
      <c r="D31" s="4" t="s">
        <v>8</v>
      </c>
      <c r="E31" s="4" t="s">
        <v>81</v>
      </c>
      <c r="F31" s="5">
        <v>5.8</v>
      </c>
      <c r="G31" s="5">
        <v>1.0</v>
      </c>
      <c r="H31" s="7"/>
      <c r="I31" s="7"/>
      <c r="J31" s="7"/>
      <c r="K31" s="7"/>
      <c r="L31" s="7"/>
      <c r="M31" s="7"/>
      <c r="N31" s="7"/>
      <c r="O31" s="7"/>
      <c r="P31" s="7"/>
      <c r="Q31" s="7"/>
      <c r="U31" s="8">
        <f t="shared" si="1"/>
        <v>5.8</v>
      </c>
      <c r="V31" s="8">
        <f t="shared" si="2"/>
        <v>10</v>
      </c>
      <c r="W31" s="8" t="str">
        <f t="shared" si="3"/>
        <v/>
      </c>
      <c r="X31" s="8" t="str">
        <f t="shared" si="4"/>
        <v>#N/A</v>
      </c>
    </row>
    <row r="32">
      <c r="A32" s="4">
        <f t="shared" si="5"/>
        <v>31</v>
      </c>
      <c r="B32" s="4" t="s">
        <v>294</v>
      </c>
      <c r="C32" s="4" t="s">
        <v>285</v>
      </c>
      <c r="D32" s="4" t="s">
        <v>10</v>
      </c>
      <c r="E32" s="4" t="s">
        <v>82</v>
      </c>
      <c r="F32" s="5">
        <v>3.2</v>
      </c>
      <c r="G32" s="5">
        <v>3.0</v>
      </c>
      <c r="H32" s="7"/>
      <c r="I32" s="7"/>
      <c r="J32" s="7"/>
      <c r="K32" s="7"/>
      <c r="L32" s="7"/>
      <c r="M32" s="7"/>
      <c r="N32" s="7"/>
      <c r="O32" s="7"/>
      <c r="P32" s="7"/>
      <c r="Q32" s="7"/>
      <c r="U32" s="8" t="str">
        <f t="shared" si="1"/>
        <v/>
      </c>
      <c r="V32" s="8" t="str">
        <f t="shared" si="2"/>
        <v>#N/A</v>
      </c>
      <c r="W32" s="8">
        <f t="shared" si="3"/>
        <v>3.2</v>
      </c>
      <c r="X32" s="8">
        <f t="shared" si="4"/>
        <v>15</v>
      </c>
    </row>
    <row r="33">
      <c r="A33" s="4">
        <f t="shared" si="5"/>
        <v>32</v>
      </c>
      <c r="B33" s="4" t="s">
        <v>294</v>
      </c>
      <c r="C33" s="4" t="s">
        <v>293</v>
      </c>
      <c r="D33" s="4" t="s">
        <v>8</v>
      </c>
      <c r="E33" s="4" t="s">
        <v>400</v>
      </c>
      <c r="F33" s="5">
        <v>1.6</v>
      </c>
      <c r="G33" s="10">
        <v>1.0</v>
      </c>
      <c r="H33" s="6"/>
      <c r="I33" s="7"/>
      <c r="J33" s="7"/>
      <c r="K33" s="7"/>
      <c r="L33" s="7"/>
      <c r="M33" s="7"/>
      <c r="N33" s="7"/>
      <c r="O33" s="7"/>
      <c r="P33" s="7"/>
      <c r="Q33" s="7"/>
      <c r="U33" s="8">
        <f t="shared" si="1"/>
        <v>1.6</v>
      </c>
      <c r="V33" s="8">
        <f t="shared" si="2"/>
        <v>46</v>
      </c>
      <c r="W33" s="8" t="str">
        <f t="shared" si="3"/>
        <v/>
      </c>
      <c r="X33" s="8" t="str">
        <f t="shared" si="4"/>
        <v>#N/A</v>
      </c>
    </row>
    <row r="34">
      <c r="A34" s="4">
        <f t="shared" si="5"/>
        <v>33</v>
      </c>
      <c r="B34" s="4" t="s">
        <v>286</v>
      </c>
      <c r="C34" s="4" t="s">
        <v>286</v>
      </c>
      <c r="D34" s="4" t="s">
        <v>10</v>
      </c>
      <c r="E34" s="4" t="s">
        <v>267</v>
      </c>
      <c r="F34" s="5">
        <v>1.7</v>
      </c>
      <c r="G34" s="10">
        <v>2.0</v>
      </c>
      <c r="H34" s="7"/>
      <c r="I34" s="7"/>
      <c r="J34" s="7"/>
      <c r="K34" s="7"/>
      <c r="L34" s="7"/>
      <c r="M34" s="7"/>
      <c r="N34" s="7"/>
      <c r="O34" s="7"/>
      <c r="P34" s="7"/>
      <c r="Q34" s="7"/>
      <c r="U34" s="8" t="str">
        <f t="shared" si="1"/>
        <v/>
      </c>
      <c r="V34" s="8" t="str">
        <f t="shared" si="2"/>
        <v>#N/A</v>
      </c>
      <c r="W34" s="8">
        <f t="shared" si="3"/>
        <v>1.7</v>
      </c>
      <c r="X34" s="8">
        <f t="shared" si="4"/>
        <v>23</v>
      </c>
    </row>
    <row r="35">
      <c r="A35" s="4">
        <f t="shared" si="5"/>
        <v>34</v>
      </c>
      <c r="B35" s="4" t="s">
        <v>286</v>
      </c>
      <c r="C35" s="4" t="s">
        <v>286</v>
      </c>
      <c r="D35" s="4" t="s">
        <v>8</v>
      </c>
      <c r="E35" s="4" t="s">
        <v>104</v>
      </c>
      <c r="F35" s="5">
        <v>1.6</v>
      </c>
      <c r="G35" s="10">
        <v>1.0</v>
      </c>
      <c r="H35" s="7"/>
      <c r="I35" s="7"/>
      <c r="J35" s="7"/>
      <c r="K35" s="7"/>
      <c r="L35" s="7"/>
      <c r="M35" s="7"/>
      <c r="N35" s="7"/>
      <c r="O35" s="7"/>
      <c r="P35" s="7"/>
      <c r="Q35" s="7"/>
      <c r="U35" s="8">
        <f t="shared" si="1"/>
        <v>1.6</v>
      </c>
      <c r="V35" s="8">
        <f t="shared" si="2"/>
        <v>46</v>
      </c>
      <c r="W35" s="8" t="str">
        <f t="shared" si="3"/>
        <v/>
      </c>
      <c r="X35" s="8" t="str">
        <f t="shared" si="4"/>
        <v>#N/A</v>
      </c>
    </row>
    <row r="36">
      <c r="A36" s="4">
        <f t="shared" si="5"/>
        <v>35</v>
      </c>
      <c r="B36" s="4" t="s">
        <v>293</v>
      </c>
      <c r="C36" s="4" t="s">
        <v>293</v>
      </c>
      <c r="D36" s="4" t="s">
        <v>8</v>
      </c>
      <c r="E36" s="4" t="s">
        <v>328</v>
      </c>
      <c r="F36" s="5">
        <v>5.4</v>
      </c>
      <c r="G36" s="10">
        <v>1.0</v>
      </c>
      <c r="H36" s="7"/>
      <c r="I36" s="7"/>
      <c r="J36" s="7"/>
      <c r="K36" s="7"/>
      <c r="L36" s="7"/>
      <c r="M36" s="7"/>
      <c r="N36" s="7"/>
      <c r="O36" s="7"/>
      <c r="P36" s="7"/>
      <c r="Q36" s="7"/>
      <c r="U36" s="8">
        <f t="shared" si="1"/>
        <v>5.4</v>
      </c>
      <c r="V36" s="8">
        <f t="shared" si="2"/>
        <v>11</v>
      </c>
      <c r="W36" s="8" t="str">
        <f t="shared" si="3"/>
        <v/>
      </c>
      <c r="X36" s="8" t="str">
        <f t="shared" si="4"/>
        <v>#N/A</v>
      </c>
    </row>
    <row r="37">
      <c r="A37" s="4">
        <f t="shared" si="5"/>
        <v>36</v>
      </c>
      <c r="B37" s="4" t="s">
        <v>274</v>
      </c>
      <c r="C37" s="4" t="s">
        <v>274</v>
      </c>
      <c r="D37" s="4" t="s">
        <v>8</v>
      </c>
      <c r="E37" s="4" t="s">
        <v>147</v>
      </c>
      <c r="F37" s="5">
        <v>1.5</v>
      </c>
      <c r="G37" s="10">
        <v>1.0</v>
      </c>
      <c r="H37" s="7"/>
      <c r="I37" s="7"/>
      <c r="J37" s="7"/>
      <c r="K37" s="7"/>
      <c r="L37" s="7"/>
      <c r="M37" s="7"/>
      <c r="N37" s="7"/>
      <c r="O37" s="7"/>
      <c r="P37" s="7"/>
      <c r="Q37" s="7"/>
      <c r="U37" s="8">
        <f t="shared" si="1"/>
        <v>1.5</v>
      </c>
      <c r="V37" s="8">
        <f t="shared" si="2"/>
        <v>49</v>
      </c>
      <c r="W37" s="8" t="str">
        <f t="shared" si="3"/>
        <v/>
      </c>
      <c r="X37" s="8" t="str">
        <f t="shared" si="4"/>
        <v>#N/A</v>
      </c>
    </row>
    <row r="38">
      <c r="A38" s="4">
        <f t="shared" si="5"/>
        <v>37</v>
      </c>
      <c r="B38" s="4" t="s">
        <v>273</v>
      </c>
      <c r="C38" s="4" t="s">
        <v>281</v>
      </c>
      <c r="D38" s="4" t="s">
        <v>10</v>
      </c>
      <c r="E38" s="4" t="s">
        <v>138</v>
      </c>
      <c r="F38" s="5">
        <v>0.9</v>
      </c>
      <c r="G38" s="10">
        <v>1.0</v>
      </c>
      <c r="H38" s="7"/>
      <c r="I38" s="7"/>
      <c r="J38" s="7"/>
      <c r="K38" s="7"/>
      <c r="L38" s="7"/>
      <c r="M38" s="7"/>
      <c r="N38" s="7"/>
      <c r="O38" s="7"/>
      <c r="P38" s="7"/>
      <c r="Q38" s="7"/>
      <c r="U38" s="8" t="str">
        <f t="shared" si="1"/>
        <v/>
      </c>
      <c r="V38" s="8" t="str">
        <f t="shared" si="2"/>
        <v>#N/A</v>
      </c>
      <c r="W38" s="8">
        <f t="shared" si="3"/>
        <v>0.9</v>
      </c>
      <c r="X38" s="8">
        <f t="shared" si="4"/>
        <v>31</v>
      </c>
    </row>
    <row r="39">
      <c r="A39" s="4">
        <f t="shared" si="5"/>
        <v>38</v>
      </c>
      <c r="B39" s="4" t="s">
        <v>273</v>
      </c>
      <c r="C39" s="4" t="s">
        <v>287</v>
      </c>
      <c r="D39" s="4" t="s">
        <v>8</v>
      </c>
      <c r="E39" s="4" t="s">
        <v>473</v>
      </c>
      <c r="F39" s="5">
        <v>3.8</v>
      </c>
      <c r="G39" s="10">
        <v>1.0</v>
      </c>
      <c r="H39" s="7"/>
      <c r="I39" s="7"/>
      <c r="J39" s="7"/>
      <c r="K39" s="7"/>
      <c r="L39" s="7"/>
      <c r="M39" s="7"/>
      <c r="N39" s="7"/>
      <c r="O39" s="7"/>
      <c r="P39" s="7"/>
      <c r="Q39" s="7"/>
      <c r="U39" s="8">
        <f t="shared" si="1"/>
        <v>3.8</v>
      </c>
      <c r="V39" s="8">
        <f t="shared" si="2"/>
        <v>27</v>
      </c>
      <c r="W39" s="8" t="str">
        <f t="shared" si="3"/>
        <v/>
      </c>
      <c r="X39" s="8" t="str">
        <f t="shared" si="4"/>
        <v>#N/A</v>
      </c>
    </row>
    <row r="40">
      <c r="A40" s="4">
        <f t="shared" si="5"/>
        <v>39</v>
      </c>
      <c r="B40" s="4" t="s">
        <v>285</v>
      </c>
      <c r="C40" s="4" t="s">
        <v>286</v>
      </c>
      <c r="D40" s="4" t="s">
        <v>10</v>
      </c>
      <c r="E40" s="4" t="s">
        <v>54</v>
      </c>
      <c r="F40" s="5">
        <v>2.5</v>
      </c>
      <c r="G40" s="10">
        <v>2.0</v>
      </c>
      <c r="H40" s="7"/>
      <c r="I40" s="7"/>
      <c r="J40" s="7"/>
      <c r="K40" s="7"/>
      <c r="L40" s="7"/>
      <c r="M40" s="7"/>
      <c r="N40" s="7"/>
      <c r="O40" s="7"/>
      <c r="P40" s="7"/>
      <c r="Q40" s="7"/>
      <c r="U40" s="8" t="str">
        <f t="shared" si="1"/>
        <v/>
      </c>
      <c r="V40" s="8" t="str">
        <f t="shared" si="2"/>
        <v>#N/A</v>
      </c>
      <c r="W40" s="8">
        <f t="shared" si="3"/>
        <v>2.5</v>
      </c>
      <c r="X40" s="8">
        <f t="shared" si="4"/>
        <v>18</v>
      </c>
    </row>
    <row r="41">
      <c r="A41" s="4">
        <f t="shared" si="5"/>
        <v>40</v>
      </c>
      <c r="B41" s="4" t="s">
        <v>285</v>
      </c>
      <c r="C41" s="4" t="s">
        <v>285</v>
      </c>
      <c r="D41" s="4" t="s">
        <v>8</v>
      </c>
      <c r="E41" s="4" t="s">
        <v>93</v>
      </c>
      <c r="F41" s="5">
        <v>4.0</v>
      </c>
      <c r="G41" s="10">
        <v>1.0</v>
      </c>
      <c r="H41" s="11"/>
      <c r="I41" s="7"/>
      <c r="J41" s="7"/>
      <c r="K41" s="7"/>
      <c r="L41" s="7"/>
      <c r="M41" s="7"/>
      <c r="N41" s="7"/>
      <c r="O41" s="7"/>
      <c r="P41" s="7"/>
      <c r="Q41" s="7"/>
      <c r="U41" s="8">
        <f t="shared" si="1"/>
        <v>4</v>
      </c>
      <c r="V41" s="8">
        <f t="shared" si="2"/>
        <v>23</v>
      </c>
      <c r="W41" s="8" t="str">
        <f t="shared" si="3"/>
        <v/>
      </c>
      <c r="X41" s="8" t="str">
        <f t="shared" si="4"/>
        <v>#N/A</v>
      </c>
    </row>
    <row r="42">
      <c r="A42" s="4">
        <f t="shared" si="5"/>
        <v>41</v>
      </c>
      <c r="B42" s="4" t="s">
        <v>280</v>
      </c>
      <c r="C42" s="4" t="s">
        <v>284</v>
      </c>
      <c r="D42" s="4" t="s">
        <v>10</v>
      </c>
      <c r="E42" s="4" t="s">
        <v>220</v>
      </c>
      <c r="F42" s="5">
        <v>3.2</v>
      </c>
      <c r="G42" s="10">
        <v>3.0</v>
      </c>
      <c r="H42" s="7"/>
      <c r="I42" s="7"/>
      <c r="J42" s="7"/>
      <c r="K42" s="7"/>
      <c r="L42" s="7"/>
      <c r="M42" s="7"/>
      <c r="N42" s="7"/>
      <c r="O42" s="7"/>
      <c r="P42" s="7"/>
      <c r="Q42" s="7"/>
      <c r="U42" s="8" t="str">
        <f t="shared" si="1"/>
        <v/>
      </c>
      <c r="V42" s="8" t="str">
        <f t="shared" si="2"/>
        <v>#N/A</v>
      </c>
      <c r="W42" s="8">
        <f t="shared" si="3"/>
        <v>3.2</v>
      </c>
      <c r="X42" s="8">
        <f t="shared" si="4"/>
        <v>15</v>
      </c>
    </row>
    <row r="43">
      <c r="A43" s="4">
        <f t="shared" si="5"/>
        <v>42</v>
      </c>
      <c r="B43" s="4" t="s">
        <v>280</v>
      </c>
      <c r="C43" s="4" t="s">
        <v>294</v>
      </c>
      <c r="D43" s="4" t="s">
        <v>8</v>
      </c>
      <c r="E43" s="4" t="s">
        <v>70</v>
      </c>
      <c r="F43" s="5">
        <v>4.2</v>
      </c>
      <c r="G43" s="10">
        <v>2.0</v>
      </c>
      <c r="H43" s="7"/>
      <c r="I43" s="7"/>
      <c r="J43" s="7"/>
      <c r="K43" s="7"/>
      <c r="L43" s="7"/>
      <c r="M43" s="7"/>
      <c r="N43" s="7"/>
      <c r="O43" s="7"/>
      <c r="P43" s="7"/>
      <c r="Q43" s="7"/>
      <c r="U43" s="8">
        <f t="shared" si="1"/>
        <v>4.2</v>
      </c>
      <c r="V43" s="8">
        <f t="shared" si="2"/>
        <v>19</v>
      </c>
      <c r="W43" s="8" t="str">
        <f t="shared" si="3"/>
        <v/>
      </c>
      <c r="X43" s="8" t="str">
        <f t="shared" si="4"/>
        <v>#N/A</v>
      </c>
    </row>
    <row r="44">
      <c r="A44" s="4">
        <f t="shared" si="5"/>
        <v>43</v>
      </c>
      <c r="B44" s="4" t="s">
        <v>288</v>
      </c>
      <c r="C44" s="4" t="s">
        <v>294</v>
      </c>
      <c r="D44" s="4" t="s">
        <v>10</v>
      </c>
      <c r="E44" s="4" t="s">
        <v>218</v>
      </c>
      <c r="F44" s="5">
        <v>2.4</v>
      </c>
      <c r="G44" s="10">
        <v>2.0</v>
      </c>
      <c r="H44" s="6"/>
      <c r="I44" s="7"/>
      <c r="J44" s="7"/>
      <c r="K44" s="7"/>
      <c r="L44" s="7"/>
      <c r="M44" s="7"/>
      <c r="N44" s="7"/>
      <c r="O44" s="7"/>
      <c r="P44" s="7"/>
      <c r="Q44" s="7"/>
      <c r="U44" s="8" t="str">
        <f t="shared" si="1"/>
        <v/>
      </c>
      <c r="V44" s="8" t="str">
        <f t="shared" si="2"/>
        <v>#N/A</v>
      </c>
      <c r="W44" s="8">
        <f t="shared" si="3"/>
        <v>2.4</v>
      </c>
      <c r="X44" s="8">
        <f t="shared" si="4"/>
        <v>19</v>
      </c>
    </row>
    <row r="45">
      <c r="A45" s="4">
        <f t="shared" si="5"/>
        <v>44</v>
      </c>
      <c r="B45" s="4" t="s">
        <v>288</v>
      </c>
      <c r="C45" s="4" t="s">
        <v>294</v>
      </c>
      <c r="D45" s="4" t="s">
        <v>8</v>
      </c>
      <c r="E45" s="4" t="s">
        <v>474</v>
      </c>
      <c r="F45" s="5">
        <v>4.2</v>
      </c>
      <c r="G45" s="10">
        <v>1.0</v>
      </c>
      <c r="H45" s="11"/>
      <c r="I45" s="11"/>
      <c r="J45" s="7"/>
      <c r="K45" s="11"/>
      <c r="L45" s="7"/>
      <c r="M45" s="7"/>
      <c r="N45" s="7"/>
      <c r="O45" s="7"/>
      <c r="P45" s="7"/>
      <c r="Q45" s="7"/>
      <c r="U45" s="8">
        <f t="shared" si="1"/>
        <v>4.2</v>
      </c>
      <c r="V45" s="8">
        <f t="shared" si="2"/>
        <v>19</v>
      </c>
      <c r="W45" s="8" t="str">
        <f t="shared" si="3"/>
        <v/>
      </c>
      <c r="X45" s="8" t="str">
        <f t="shared" si="4"/>
        <v>#N/A</v>
      </c>
    </row>
    <row r="46">
      <c r="A46" s="4">
        <f t="shared" si="5"/>
        <v>45</v>
      </c>
      <c r="B46" s="4" t="s">
        <v>287</v>
      </c>
      <c r="C46" s="4" t="s">
        <v>274</v>
      </c>
      <c r="D46" s="4" t="s">
        <v>10</v>
      </c>
      <c r="E46" s="4" t="s">
        <v>301</v>
      </c>
      <c r="F46" s="5">
        <v>3.4</v>
      </c>
      <c r="G46" s="10">
        <v>3.0</v>
      </c>
      <c r="H46" s="4"/>
      <c r="I46" s="4"/>
      <c r="J46" s="7"/>
      <c r="K46" s="7"/>
      <c r="L46" s="7"/>
      <c r="M46" s="7"/>
      <c r="N46" s="7"/>
      <c r="O46" s="7"/>
      <c r="P46" s="7"/>
      <c r="Q46" s="7"/>
      <c r="U46" s="8" t="str">
        <f t="shared" si="1"/>
        <v/>
      </c>
      <c r="V46" s="8" t="str">
        <f t="shared" si="2"/>
        <v>#N/A</v>
      </c>
      <c r="W46" s="8">
        <f t="shared" si="3"/>
        <v>3.4</v>
      </c>
      <c r="X46" s="8">
        <f t="shared" si="4"/>
        <v>12</v>
      </c>
    </row>
    <row r="47">
      <c r="A47" s="4">
        <f t="shared" si="5"/>
        <v>46</v>
      </c>
      <c r="B47" s="4" t="s">
        <v>287</v>
      </c>
      <c r="C47" s="4" t="s">
        <v>273</v>
      </c>
      <c r="D47" s="4" t="s">
        <v>8</v>
      </c>
      <c r="E47" s="4" t="s">
        <v>84</v>
      </c>
      <c r="F47" s="5">
        <v>6.2</v>
      </c>
      <c r="G47" s="10">
        <v>1.0</v>
      </c>
      <c r="H47" s="7"/>
      <c r="I47" s="7"/>
      <c r="J47" s="7"/>
      <c r="K47" s="11"/>
      <c r="L47" s="11"/>
      <c r="M47" s="7"/>
      <c r="N47" s="7"/>
      <c r="O47" s="7"/>
      <c r="P47" s="7"/>
      <c r="Q47" s="7"/>
      <c r="U47" s="8">
        <f t="shared" si="1"/>
        <v>6.2</v>
      </c>
      <c r="V47" s="8">
        <f t="shared" si="2"/>
        <v>9</v>
      </c>
      <c r="W47" s="8" t="str">
        <f t="shared" si="3"/>
        <v/>
      </c>
      <c r="X47" s="8" t="str">
        <f t="shared" si="4"/>
        <v>#N/A</v>
      </c>
    </row>
    <row r="48">
      <c r="A48" s="4">
        <f t="shared" si="5"/>
        <v>47</v>
      </c>
      <c r="B48" s="4" t="s">
        <v>284</v>
      </c>
      <c r="C48" s="4" t="s">
        <v>284</v>
      </c>
      <c r="D48" s="4" t="s">
        <v>10</v>
      </c>
      <c r="E48" s="4" t="s">
        <v>335</v>
      </c>
      <c r="F48" s="5">
        <v>6.5</v>
      </c>
      <c r="G48" s="10">
        <v>1.0</v>
      </c>
      <c r="H48" s="6"/>
      <c r="I48" s="6"/>
      <c r="J48" s="7"/>
      <c r="K48" s="7"/>
      <c r="L48" s="7"/>
      <c r="M48" s="7"/>
      <c r="N48" s="7"/>
      <c r="O48" s="7"/>
      <c r="P48" s="7"/>
      <c r="Q48" s="7"/>
      <c r="U48" s="8" t="str">
        <f t="shared" si="1"/>
        <v/>
      </c>
      <c r="V48" s="8" t="str">
        <f t="shared" si="2"/>
        <v>#N/A</v>
      </c>
      <c r="W48" s="8">
        <f t="shared" si="3"/>
        <v>6.5</v>
      </c>
      <c r="X48" s="8">
        <f t="shared" si="4"/>
        <v>3</v>
      </c>
    </row>
    <row r="49">
      <c r="A49" s="4">
        <f t="shared" si="5"/>
        <v>48</v>
      </c>
      <c r="B49" s="4" t="s">
        <v>284</v>
      </c>
      <c r="C49" s="4" t="s">
        <v>285</v>
      </c>
      <c r="D49" s="4" t="s">
        <v>8</v>
      </c>
      <c r="E49" s="4" t="s">
        <v>128</v>
      </c>
      <c r="F49" s="5">
        <v>6.7</v>
      </c>
      <c r="G49" s="10">
        <v>1.0</v>
      </c>
      <c r="H49" s="7"/>
      <c r="I49" s="7"/>
      <c r="J49" s="7"/>
      <c r="K49" s="7"/>
      <c r="L49" s="7"/>
      <c r="M49" s="7"/>
      <c r="N49" s="7"/>
      <c r="O49" s="7"/>
      <c r="P49" s="7"/>
      <c r="Q49" s="7"/>
      <c r="U49" s="8">
        <f t="shared" si="1"/>
        <v>6.7</v>
      </c>
      <c r="V49" s="8">
        <f t="shared" si="2"/>
        <v>5</v>
      </c>
      <c r="W49" s="8" t="str">
        <f t="shared" si="3"/>
        <v/>
      </c>
      <c r="X49" s="8" t="str">
        <f t="shared" si="4"/>
        <v>#N/A</v>
      </c>
    </row>
    <row r="50">
      <c r="A50" s="4">
        <f t="shared" si="5"/>
        <v>49</v>
      </c>
      <c r="B50" s="4" t="s">
        <v>281</v>
      </c>
      <c r="C50" s="4" t="s">
        <v>287</v>
      </c>
      <c r="D50" s="4" t="s">
        <v>10</v>
      </c>
      <c r="E50" s="4" t="s">
        <v>475</v>
      </c>
      <c r="F50" s="5">
        <v>1.0</v>
      </c>
      <c r="G50" s="10">
        <v>4.0</v>
      </c>
      <c r="H50" s="4"/>
      <c r="I50" s="4"/>
      <c r="J50" s="4"/>
      <c r="K50" s="4"/>
      <c r="L50" s="7"/>
      <c r="M50" s="7"/>
      <c r="N50" s="7"/>
      <c r="O50" s="7"/>
      <c r="P50" s="7"/>
      <c r="Q50" s="7"/>
      <c r="U50" s="8" t="str">
        <f t="shared" si="1"/>
        <v/>
      </c>
      <c r="V50" s="8" t="str">
        <f t="shared" si="2"/>
        <v>#N/A</v>
      </c>
      <c r="W50" s="8">
        <f t="shared" si="3"/>
        <v>1</v>
      </c>
      <c r="X50" s="8">
        <f t="shared" si="4"/>
        <v>29</v>
      </c>
    </row>
    <row r="51">
      <c r="A51" s="4">
        <f t="shared" si="5"/>
        <v>50</v>
      </c>
      <c r="B51" s="4" t="s">
        <v>281</v>
      </c>
      <c r="C51" s="4" t="s">
        <v>294</v>
      </c>
      <c r="D51" s="4" t="s">
        <v>8</v>
      </c>
      <c r="E51" s="4" t="s">
        <v>340</v>
      </c>
      <c r="F51" s="5">
        <v>4.2</v>
      </c>
      <c r="G51" s="10">
        <v>1.0</v>
      </c>
      <c r="H51" s="7"/>
      <c r="I51" s="7"/>
      <c r="J51" s="7"/>
      <c r="K51" s="7"/>
      <c r="L51" s="7"/>
      <c r="M51" s="7"/>
      <c r="N51" s="7"/>
      <c r="O51" s="7"/>
      <c r="P51" s="7"/>
      <c r="Q51" s="7"/>
      <c r="U51" s="8">
        <f t="shared" si="1"/>
        <v>4.2</v>
      </c>
      <c r="V51" s="8">
        <f t="shared" si="2"/>
        <v>19</v>
      </c>
      <c r="W51" s="8" t="str">
        <f t="shared" si="3"/>
        <v/>
      </c>
      <c r="X51" s="8" t="str">
        <f t="shared" si="4"/>
        <v>#N/A</v>
      </c>
    </row>
    <row r="52">
      <c r="A52" s="4">
        <f t="shared" si="5"/>
        <v>51</v>
      </c>
      <c r="B52" s="4" t="s">
        <v>294</v>
      </c>
      <c r="C52" s="4" t="s">
        <v>281</v>
      </c>
      <c r="D52" s="4" t="s">
        <v>10</v>
      </c>
      <c r="E52" s="4" t="s">
        <v>476</v>
      </c>
      <c r="F52" s="5">
        <v>1.7</v>
      </c>
      <c r="G52" s="10">
        <v>2.0</v>
      </c>
      <c r="H52" s="6"/>
      <c r="I52" s="6"/>
      <c r="J52" s="7"/>
      <c r="K52" s="7"/>
      <c r="L52" s="7"/>
      <c r="M52" s="7"/>
      <c r="N52" s="7"/>
      <c r="O52" s="7"/>
      <c r="P52" s="7"/>
      <c r="Q52" s="7"/>
      <c r="U52" s="8" t="str">
        <f t="shared" si="1"/>
        <v/>
      </c>
      <c r="V52" s="8" t="str">
        <f t="shared" si="2"/>
        <v>#N/A</v>
      </c>
      <c r="W52" s="8">
        <f t="shared" si="3"/>
        <v>1.7</v>
      </c>
      <c r="X52" s="8">
        <f t="shared" si="4"/>
        <v>23</v>
      </c>
    </row>
    <row r="53">
      <c r="A53" s="4">
        <f t="shared" si="5"/>
        <v>52</v>
      </c>
      <c r="B53" s="4" t="s">
        <v>294</v>
      </c>
      <c r="C53" s="4" t="s">
        <v>286</v>
      </c>
      <c r="D53" s="4" t="s">
        <v>8</v>
      </c>
      <c r="E53" s="4" t="s">
        <v>453</v>
      </c>
      <c r="F53" s="5">
        <v>1.2</v>
      </c>
      <c r="G53" s="10">
        <v>1.0</v>
      </c>
      <c r="H53" s="7"/>
      <c r="I53" s="7"/>
      <c r="J53" s="7"/>
      <c r="K53" s="7"/>
      <c r="L53" s="7"/>
      <c r="M53" s="7"/>
      <c r="N53" s="7"/>
      <c r="O53" s="7"/>
      <c r="P53" s="7"/>
      <c r="Q53" s="7"/>
      <c r="U53" s="8">
        <f t="shared" si="1"/>
        <v>1.2</v>
      </c>
      <c r="V53" s="8">
        <f t="shared" si="2"/>
        <v>54</v>
      </c>
      <c r="W53" s="8" t="str">
        <f t="shared" si="3"/>
        <v/>
      </c>
      <c r="X53" s="8" t="str">
        <f t="shared" si="4"/>
        <v>#N/A</v>
      </c>
    </row>
    <row r="54">
      <c r="A54" s="4">
        <f t="shared" si="5"/>
        <v>53</v>
      </c>
      <c r="B54" s="4" t="s">
        <v>286</v>
      </c>
      <c r="C54" s="4" t="s">
        <v>294</v>
      </c>
      <c r="D54" s="4" t="s">
        <v>10</v>
      </c>
      <c r="E54" s="4" t="s">
        <v>91</v>
      </c>
      <c r="F54" s="5">
        <v>2.7</v>
      </c>
      <c r="G54" s="10">
        <v>2.0</v>
      </c>
      <c r="H54" s="7"/>
      <c r="I54" s="7"/>
      <c r="J54" s="7"/>
      <c r="K54" s="7"/>
      <c r="L54" s="7"/>
      <c r="M54" s="7"/>
      <c r="N54" s="7"/>
      <c r="O54" s="7"/>
      <c r="P54" s="7"/>
      <c r="Q54" s="7"/>
      <c r="U54" s="8" t="str">
        <f t="shared" si="1"/>
        <v/>
      </c>
      <c r="V54" s="8" t="str">
        <f t="shared" si="2"/>
        <v>#N/A</v>
      </c>
      <c r="W54" s="8">
        <f t="shared" si="3"/>
        <v>2.7</v>
      </c>
      <c r="X54" s="8">
        <f t="shared" si="4"/>
        <v>17</v>
      </c>
    </row>
    <row r="55">
      <c r="A55" s="4">
        <f t="shared" si="5"/>
        <v>54</v>
      </c>
      <c r="B55" s="4" t="s">
        <v>286</v>
      </c>
      <c r="C55" s="4" t="s">
        <v>280</v>
      </c>
      <c r="D55" s="4" t="s">
        <v>8</v>
      </c>
      <c r="E55" s="4" t="s">
        <v>246</v>
      </c>
      <c r="F55" s="5">
        <v>1.1</v>
      </c>
      <c r="G55" s="10">
        <v>2.0</v>
      </c>
      <c r="H55" s="7"/>
      <c r="I55" s="7"/>
      <c r="J55" s="7"/>
      <c r="K55" s="7"/>
      <c r="L55" s="7"/>
      <c r="M55" s="7"/>
      <c r="N55" s="7"/>
      <c r="O55" s="7"/>
      <c r="P55" s="7"/>
      <c r="Q55" s="7"/>
      <c r="U55" s="8">
        <f t="shared" si="1"/>
        <v>1.1</v>
      </c>
      <c r="V55" s="8">
        <f t="shared" si="2"/>
        <v>57</v>
      </c>
      <c r="W55" s="8" t="str">
        <f t="shared" si="3"/>
        <v/>
      </c>
      <c r="X55" s="8" t="str">
        <f t="shared" si="4"/>
        <v>#N/A</v>
      </c>
    </row>
    <row r="56">
      <c r="A56" s="4">
        <f t="shared" si="5"/>
        <v>55</v>
      </c>
      <c r="B56" s="4" t="s">
        <v>293</v>
      </c>
      <c r="C56" s="4" t="s">
        <v>285</v>
      </c>
      <c r="D56" s="4" t="s">
        <v>10</v>
      </c>
      <c r="E56" s="4" t="s">
        <v>86</v>
      </c>
      <c r="F56" s="5">
        <v>1.8</v>
      </c>
      <c r="G56" s="10">
        <v>3.0</v>
      </c>
      <c r="H56" s="7"/>
      <c r="I56" s="7"/>
      <c r="J56" s="7"/>
      <c r="K56" s="7"/>
      <c r="L56" s="7"/>
      <c r="M56" s="7"/>
      <c r="N56" s="7"/>
      <c r="O56" s="7"/>
      <c r="P56" s="7"/>
      <c r="Q56" s="7"/>
      <c r="U56" s="8" t="str">
        <f t="shared" si="1"/>
        <v/>
      </c>
      <c r="V56" s="8" t="str">
        <f t="shared" si="2"/>
        <v>#N/A</v>
      </c>
      <c r="W56" s="8">
        <f t="shared" si="3"/>
        <v>1.8</v>
      </c>
      <c r="X56" s="8">
        <f t="shared" si="4"/>
        <v>21</v>
      </c>
    </row>
    <row r="57">
      <c r="A57" s="4">
        <f t="shared" si="5"/>
        <v>56</v>
      </c>
      <c r="B57" s="4" t="s">
        <v>293</v>
      </c>
      <c r="C57" s="4" t="s">
        <v>273</v>
      </c>
      <c r="D57" s="4" t="s">
        <v>8</v>
      </c>
      <c r="E57" s="4" t="s">
        <v>241</v>
      </c>
      <c r="F57" s="5">
        <v>1.3</v>
      </c>
      <c r="G57" s="10">
        <v>1.0</v>
      </c>
      <c r="H57" s="7"/>
      <c r="I57" s="7"/>
      <c r="J57" s="7"/>
      <c r="K57" s="7"/>
      <c r="L57" s="7"/>
      <c r="M57" s="7"/>
      <c r="N57" s="7"/>
      <c r="O57" s="7"/>
      <c r="P57" s="7"/>
      <c r="Q57" s="7"/>
      <c r="U57" s="8">
        <f t="shared" si="1"/>
        <v>1.3</v>
      </c>
      <c r="V57" s="8">
        <f t="shared" si="2"/>
        <v>51</v>
      </c>
      <c r="W57" s="8" t="str">
        <f t="shared" si="3"/>
        <v/>
      </c>
      <c r="X57" s="8" t="str">
        <f t="shared" si="4"/>
        <v>#N/A</v>
      </c>
    </row>
    <row r="58">
      <c r="A58" s="4">
        <f t="shared" si="5"/>
        <v>57</v>
      </c>
      <c r="B58" s="4" t="s">
        <v>274</v>
      </c>
      <c r="C58" s="4" t="s">
        <v>274</v>
      </c>
      <c r="D58" s="4" t="s">
        <v>8</v>
      </c>
      <c r="E58" s="4" t="s">
        <v>447</v>
      </c>
      <c r="F58" s="5">
        <v>2.2</v>
      </c>
      <c r="G58" s="10">
        <v>1.0</v>
      </c>
      <c r="H58" s="7"/>
      <c r="I58" s="7"/>
      <c r="J58" s="7"/>
      <c r="K58" s="7"/>
      <c r="L58" s="7"/>
      <c r="M58" s="7"/>
      <c r="N58" s="7"/>
      <c r="O58" s="7"/>
      <c r="P58" s="7"/>
      <c r="Q58" s="7"/>
      <c r="U58" s="8">
        <f t="shared" si="1"/>
        <v>2.2</v>
      </c>
      <c r="V58" s="8">
        <f t="shared" si="2"/>
        <v>40</v>
      </c>
      <c r="W58" s="8" t="str">
        <f t="shared" si="3"/>
        <v/>
      </c>
      <c r="X58" s="8" t="str">
        <f t="shared" si="4"/>
        <v>#N/A</v>
      </c>
    </row>
    <row r="59">
      <c r="A59" s="4">
        <f t="shared" si="5"/>
        <v>58</v>
      </c>
      <c r="B59" s="4" t="s">
        <v>273</v>
      </c>
      <c r="C59" s="4" t="s">
        <v>280</v>
      </c>
      <c r="D59" s="4" t="s">
        <v>10</v>
      </c>
      <c r="E59" s="4" t="s">
        <v>90</v>
      </c>
      <c r="F59" s="5">
        <v>1.1</v>
      </c>
      <c r="G59" s="10">
        <v>3.0</v>
      </c>
      <c r="H59" s="7"/>
      <c r="I59" s="7"/>
      <c r="J59" s="7"/>
      <c r="K59" s="7"/>
      <c r="L59" s="7"/>
      <c r="M59" s="7"/>
      <c r="N59" s="7"/>
      <c r="O59" s="7"/>
      <c r="P59" s="7"/>
      <c r="Q59" s="7"/>
      <c r="U59" s="8" t="str">
        <f t="shared" si="1"/>
        <v/>
      </c>
      <c r="V59" s="8" t="str">
        <f t="shared" si="2"/>
        <v>#N/A</v>
      </c>
      <c r="W59" s="8">
        <f t="shared" si="3"/>
        <v>1.1</v>
      </c>
      <c r="X59" s="8">
        <f t="shared" si="4"/>
        <v>28</v>
      </c>
    </row>
    <row r="60">
      <c r="A60" s="4">
        <f t="shared" si="5"/>
        <v>59</v>
      </c>
      <c r="B60" s="4" t="s">
        <v>273</v>
      </c>
      <c r="C60" s="4" t="s">
        <v>281</v>
      </c>
      <c r="D60" s="4" t="s">
        <v>8</v>
      </c>
      <c r="E60" s="4" t="s">
        <v>420</v>
      </c>
      <c r="F60" s="5">
        <v>1.0</v>
      </c>
      <c r="G60" s="10">
        <v>1.0</v>
      </c>
      <c r="H60" s="7"/>
      <c r="I60" s="7"/>
      <c r="J60" s="7"/>
      <c r="K60" s="7"/>
      <c r="L60" s="7"/>
      <c r="M60" s="7"/>
      <c r="N60" s="7"/>
      <c r="O60" s="7"/>
      <c r="P60" s="7"/>
      <c r="Q60" s="7"/>
      <c r="U60" s="8">
        <f t="shared" si="1"/>
        <v>1</v>
      </c>
      <c r="V60" s="8">
        <f t="shared" si="2"/>
        <v>65</v>
      </c>
      <c r="W60" s="8" t="str">
        <f t="shared" si="3"/>
        <v/>
      </c>
      <c r="X60" s="8" t="str">
        <f t="shared" si="4"/>
        <v>#N/A</v>
      </c>
    </row>
    <row r="61">
      <c r="A61" s="4">
        <f t="shared" si="5"/>
        <v>60</v>
      </c>
      <c r="B61" s="4" t="s">
        <v>285</v>
      </c>
      <c r="C61" s="4" t="s">
        <v>285</v>
      </c>
      <c r="D61" s="4" t="s">
        <v>10</v>
      </c>
      <c r="E61" s="4" t="s">
        <v>47</v>
      </c>
      <c r="F61" s="5">
        <v>1.8</v>
      </c>
      <c r="G61" s="10">
        <v>3.0</v>
      </c>
      <c r="H61" s="7"/>
      <c r="I61" s="7"/>
      <c r="J61" s="7"/>
      <c r="K61" s="7"/>
      <c r="L61" s="7"/>
      <c r="M61" s="7"/>
      <c r="N61" s="7"/>
      <c r="O61" s="7"/>
      <c r="P61" s="7"/>
      <c r="Q61" s="7"/>
      <c r="U61" s="8" t="str">
        <f t="shared" si="1"/>
        <v/>
      </c>
      <c r="V61" s="8" t="str">
        <f t="shared" si="2"/>
        <v>#N/A</v>
      </c>
      <c r="W61" s="8">
        <f t="shared" si="3"/>
        <v>1.8</v>
      </c>
      <c r="X61" s="8">
        <f t="shared" si="4"/>
        <v>21</v>
      </c>
    </row>
    <row r="62">
      <c r="A62" s="4">
        <f t="shared" si="5"/>
        <v>61</v>
      </c>
      <c r="B62" s="4" t="s">
        <v>285</v>
      </c>
      <c r="C62" s="4" t="s">
        <v>285</v>
      </c>
      <c r="D62" s="4" t="s">
        <v>8</v>
      </c>
      <c r="E62" s="4" t="s">
        <v>210</v>
      </c>
      <c r="F62" s="5">
        <v>1.5</v>
      </c>
      <c r="G62" s="10">
        <v>1.0</v>
      </c>
      <c r="H62" s="6"/>
      <c r="I62" s="7"/>
      <c r="J62" s="7"/>
      <c r="K62" s="7"/>
      <c r="L62" s="7"/>
      <c r="M62" s="7"/>
      <c r="N62" s="7"/>
      <c r="O62" s="7"/>
      <c r="P62" s="7"/>
      <c r="Q62" s="7"/>
      <c r="U62" s="8">
        <f t="shared" si="1"/>
        <v>1.5</v>
      </c>
      <c r="V62" s="8">
        <f t="shared" si="2"/>
        <v>49</v>
      </c>
      <c r="W62" s="8" t="str">
        <f t="shared" si="3"/>
        <v/>
      </c>
      <c r="X62" s="8" t="str">
        <f t="shared" si="4"/>
        <v>#N/A</v>
      </c>
    </row>
    <row r="63">
      <c r="A63" s="4">
        <f t="shared" si="5"/>
        <v>62</v>
      </c>
      <c r="B63" s="4" t="s">
        <v>280</v>
      </c>
      <c r="C63" s="4" t="s">
        <v>285</v>
      </c>
      <c r="D63" s="4" t="s">
        <v>10</v>
      </c>
      <c r="E63" s="4" t="s">
        <v>305</v>
      </c>
      <c r="F63" s="5">
        <v>1.3</v>
      </c>
      <c r="G63" s="10">
        <v>3.0</v>
      </c>
      <c r="H63" s="7"/>
      <c r="I63" s="7"/>
      <c r="J63" s="7"/>
      <c r="K63" s="7"/>
      <c r="L63" s="7"/>
      <c r="M63" s="7"/>
      <c r="N63" s="7"/>
      <c r="O63" s="7"/>
      <c r="P63" s="7"/>
      <c r="Q63" s="7"/>
      <c r="U63" s="8" t="str">
        <f t="shared" si="1"/>
        <v/>
      </c>
      <c r="V63" s="8" t="str">
        <f t="shared" si="2"/>
        <v>#N/A</v>
      </c>
      <c r="W63" s="8">
        <f t="shared" si="3"/>
        <v>1.3</v>
      </c>
      <c r="X63" s="8">
        <f t="shared" si="4"/>
        <v>26</v>
      </c>
    </row>
    <row r="64">
      <c r="A64" s="4">
        <f t="shared" si="5"/>
        <v>63</v>
      </c>
      <c r="B64" s="4" t="s">
        <v>280</v>
      </c>
      <c r="C64" s="4" t="s">
        <v>280</v>
      </c>
      <c r="D64" s="4" t="s">
        <v>8</v>
      </c>
      <c r="E64" s="4" t="s">
        <v>477</v>
      </c>
      <c r="F64" s="5">
        <v>0.9</v>
      </c>
      <c r="G64" s="10">
        <v>1.0</v>
      </c>
      <c r="H64" s="7"/>
      <c r="I64" s="7"/>
      <c r="J64" s="7"/>
      <c r="K64" s="7"/>
      <c r="L64" s="7"/>
      <c r="M64" s="7"/>
      <c r="N64" s="7"/>
      <c r="O64" s="7"/>
      <c r="P64" s="7"/>
      <c r="Q64" s="7"/>
      <c r="U64" s="8">
        <f t="shared" si="1"/>
        <v>0.9</v>
      </c>
      <c r="V64" s="8">
        <f t="shared" si="2"/>
        <v>69</v>
      </c>
      <c r="W64" s="8" t="str">
        <f t="shared" si="3"/>
        <v/>
      </c>
      <c r="X64" s="8" t="str">
        <f t="shared" si="4"/>
        <v>#N/A</v>
      </c>
    </row>
    <row r="65">
      <c r="A65" s="4">
        <f t="shared" si="5"/>
        <v>64</v>
      </c>
      <c r="B65" s="4" t="s">
        <v>288</v>
      </c>
      <c r="C65" s="4" t="s">
        <v>273</v>
      </c>
      <c r="D65" s="4" t="s">
        <v>10</v>
      </c>
      <c r="E65" s="4" t="s">
        <v>306</v>
      </c>
      <c r="F65" s="5">
        <v>2.4</v>
      </c>
      <c r="G65" s="10">
        <v>3.0</v>
      </c>
      <c r="H65" s="7"/>
      <c r="I65" s="7"/>
      <c r="J65" s="7"/>
      <c r="K65" s="7"/>
      <c r="L65" s="7"/>
      <c r="M65" s="7"/>
      <c r="N65" s="7"/>
      <c r="O65" s="7"/>
      <c r="P65" s="7"/>
      <c r="Q65" s="7"/>
      <c r="U65" s="8" t="str">
        <f t="shared" si="1"/>
        <v/>
      </c>
      <c r="V65" s="8" t="str">
        <f t="shared" si="2"/>
        <v>#N/A</v>
      </c>
      <c r="W65" s="8">
        <f t="shared" si="3"/>
        <v>2.4</v>
      </c>
      <c r="X65" s="8">
        <f t="shared" si="4"/>
        <v>19</v>
      </c>
    </row>
    <row r="66">
      <c r="A66" s="4">
        <f t="shared" si="5"/>
        <v>65</v>
      </c>
      <c r="B66" s="4" t="s">
        <v>288</v>
      </c>
      <c r="C66" s="4" t="s">
        <v>293</v>
      </c>
      <c r="D66" s="4" t="s">
        <v>8</v>
      </c>
      <c r="E66" s="4" t="s">
        <v>478</v>
      </c>
      <c r="F66" s="5">
        <v>2.2</v>
      </c>
      <c r="G66" s="10">
        <v>2.0</v>
      </c>
      <c r="H66" s="7"/>
      <c r="I66" s="7"/>
      <c r="J66" s="7"/>
      <c r="K66" s="7"/>
      <c r="L66" s="7"/>
      <c r="M66" s="7"/>
      <c r="N66" s="7"/>
      <c r="O66" s="7"/>
      <c r="P66" s="7"/>
      <c r="Q66" s="7"/>
      <c r="U66" s="8">
        <f t="shared" si="1"/>
        <v>2.2</v>
      </c>
      <c r="V66" s="8">
        <f t="shared" si="2"/>
        <v>40</v>
      </c>
      <c r="W66" s="8" t="str">
        <f t="shared" si="3"/>
        <v/>
      </c>
      <c r="X66" s="8" t="str">
        <f t="shared" si="4"/>
        <v>#N/A</v>
      </c>
    </row>
    <row r="67">
      <c r="A67" s="4">
        <f t="shared" si="5"/>
        <v>66</v>
      </c>
      <c r="B67" s="4" t="s">
        <v>287</v>
      </c>
      <c r="C67" s="4" t="s">
        <v>284</v>
      </c>
      <c r="D67" s="4" t="s">
        <v>8</v>
      </c>
      <c r="E67" s="4" t="s">
        <v>396</v>
      </c>
      <c r="F67" s="5">
        <v>4.8</v>
      </c>
      <c r="G67" s="10">
        <v>1.0</v>
      </c>
      <c r="H67" s="7"/>
      <c r="I67" s="12"/>
      <c r="J67" s="7"/>
      <c r="K67" s="7"/>
      <c r="L67" s="7"/>
      <c r="M67" s="7"/>
      <c r="N67" s="7"/>
      <c r="O67" s="7"/>
      <c r="P67" s="7"/>
      <c r="Q67" s="7"/>
      <c r="U67" s="8">
        <f t="shared" si="1"/>
        <v>4.8</v>
      </c>
      <c r="V67" s="8">
        <f t="shared" si="2"/>
        <v>14</v>
      </c>
      <c r="W67" s="8" t="str">
        <f t="shared" si="3"/>
        <v/>
      </c>
      <c r="X67" s="8" t="str">
        <f t="shared" si="4"/>
        <v>#N/A</v>
      </c>
    </row>
    <row r="68">
      <c r="A68" s="4">
        <f t="shared" si="5"/>
        <v>67</v>
      </c>
      <c r="B68" s="4" t="s">
        <v>284</v>
      </c>
      <c r="C68" s="4" t="s">
        <v>280</v>
      </c>
      <c r="D68" s="4" t="s">
        <v>8</v>
      </c>
      <c r="E68" s="4" t="s">
        <v>154</v>
      </c>
      <c r="F68" s="5">
        <v>3.3</v>
      </c>
      <c r="G68" s="10">
        <v>1.0</v>
      </c>
      <c r="H68" s="7"/>
      <c r="I68" s="7"/>
      <c r="J68" s="7"/>
      <c r="K68" s="7"/>
      <c r="L68" s="7"/>
      <c r="M68" s="7"/>
      <c r="N68" s="7"/>
      <c r="O68" s="7"/>
      <c r="P68" s="7"/>
      <c r="Q68" s="7"/>
      <c r="U68" s="8">
        <f t="shared" si="1"/>
        <v>3.3</v>
      </c>
      <c r="V68" s="8">
        <f t="shared" si="2"/>
        <v>31</v>
      </c>
      <c r="W68" s="8" t="str">
        <f t="shared" si="3"/>
        <v/>
      </c>
      <c r="X68" s="8" t="str">
        <f t="shared" si="4"/>
        <v>#N/A</v>
      </c>
    </row>
    <row r="69">
      <c r="A69" s="4">
        <f t="shared" si="5"/>
        <v>68</v>
      </c>
      <c r="B69" s="4" t="s">
        <v>281</v>
      </c>
      <c r="C69" s="4" t="s">
        <v>274</v>
      </c>
      <c r="D69" s="4" t="s">
        <v>10</v>
      </c>
      <c r="E69" s="4" t="s">
        <v>479</v>
      </c>
      <c r="F69" s="5">
        <v>0.9</v>
      </c>
      <c r="G69" s="10">
        <v>3.0</v>
      </c>
      <c r="H69" s="7"/>
      <c r="I69" s="7"/>
      <c r="J69" s="7"/>
      <c r="K69" s="7"/>
      <c r="L69" s="7"/>
      <c r="M69" s="7"/>
      <c r="N69" s="7"/>
      <c r="O69" s="7"/>
      <c r="P69" s="7"/>
      <c r="Q69" s="7"/>
      <c r="U69" s="8" t="str">
        <f t="shared" si="1"/>
        <v/>
      </c>
      <c r="V69" s="8" t="str">
        <f t="shared" si="2"/>
        <v>#N/A</v>
      </c>
      <c r="W69" s="8">
        <f t="shared" si="3"/>
        <v>0.9</v>
      </c>
      <c r="X69" s="8">
        <f t="shared" si="4"/>
        <v>31</v>
      </c>
    </row>
    <row r="70">
      <c r="A70" s="4">
        <f t="shared" si="5"/>
        <v>69</v>
      </c>
      <c r="B70" s="4" t="s">
        <v>281</v>
      </c>
      <c r="C70" s="4" t="s">
        <v>287</v>
      </c>
      <c r="D70" s="4" t="s">
        <v>8</v>
      </c>
      <c r="E70" s="4" t="s">
        <v>395</v>
      </c>
      <c r="F70" s="5">
        <v>3.6</v>
      </c>
      <c r="G70" s="10">
        <v>2.0</v>
      </c>
      <c r="H70" s="7"/>
      <c r="I70" s="7"/>
      <c r="J70" s="7"/>
      <c r="K70" s="7"/>
      <c r="L70" s="7"/>
      <c r="M70" s="7"/>
      <c r="N70" s="7"/>
      <c r="O70" s="7"/>
      <c r="P70" s="7"/>
      <c r="Q70" s="7"/>
      <c r="U70" s="8">
        <f t="shared" si="1"/>
        <v>3.6</v>
      </c>
      <c r="V70" s="8">
        <f t="shared" si="2"/>
        <v>29</v>
      </c>
      <c r="W70" s="8" t="str">
        <f t="shared" si="3"/>
        <v/>
      </c>
      <c r="X70" s="8" t="str">
        <f t="shared" si="4"/>
        <v>#N/A</v>
      </c>
    </row>
    <row r="71">
      <c r="A71" s="4">
        <f t="shared" si="5"/>
        <v>70</v>
      </c>
      <c r="B71" s="4" t="s">
        <v>294</v>
      </c>
      <c r="C71" s="4" t="s">
        <v>285</v>
      </c>
      <c r="D71" s="4" t="s">
        <v>10</v>
      </c>
      <c r="E71" s="4" t="s">
        <v>480</v>
      </c>
      <c r="F71" s="5">
        <v>0.9</v>
      </c>
      <c r="G71" s="10">
        <v>1.0</v>
      </c>
      <c r="H71" s="7"/>
      <c r="I71" s="7"/>
      <c r="J71" s="7"/>
      <c r="K71" s="7"/>
      <c r="L71" s="7"/>
      <c r="M71" s="7"/>
      <c r="N71" s="7"/>
      <c r="O71" s="7"/>
      <c r="P71" s="7"/>
      <c r="Q71" s="7"/>
      <c r="U71" s="8" t="str">
        <f t="shared" si="1"/>
        <v/>
      </c>
      <c r="V71" s="8" t="str">
        <f t="shared" si="2"/>
        <v>#N/A</v>
      </c>
      <c r="W71" s="8">
        <f t="shared" si="3"/>
        <v>0.9</v>
      </c>
      <c r="X71" s="8">
        <f t="shared" si="4"/>
        <v>31</v>
      </c>
    </row>
    <row r="72">
      <c r="A72" s="4">
        <f t="shared" si="5"/>
        <v>71</v>
      </c>
      <c r="B72" s="4" t="s">
        <v>294</v>
      </c>
      <c r="C72" s="4" t="s">
        <v>280</v>
      </c>
      <c r="D72" s="4" t="s">
        <v>8</v>
      </c>
      <c r="E72" s="4" t="s">
        <v>348</v>
      </c>
      <c r="F72" s="5">
        <v>0.6</v>
      </c>
      <c r="G72" s="10">
        <v>2.0</v>
      </c>
      <c r="H72" s="7"/>
      <c r="I72" s="7"/>
      <c r="J72" s="7"/>
      <c r="K72" s="7"/>
      <c r="L72" s="7"/>
      <c r="M72" s="7"/>
      <c r="N72" s="7"/>
      <c r="O72" s="7"/>
      <c r="P72" s="7"/>
      <c r="Q72" s="7"/>
      <c r="U72" s="8">
        <f t="shared" si="1"/>
        <v>0.6</v>
      </c>
      <c r="V72" s="8">
        <f t="shared" si="2"/>
        <v>89</v>
      </c>
      <c r="W72" s="8" t="str">
        <f t="shared" si="3"/>
        <v/>
      </c>
      <c r="X72" s="8" t="str">
        <f t="shared" si="4"/>
        <v>#N/A</v>
      </c>
    </row>
    <row r="73">
      <c r="A73" s="4">
        <f t="shared" si="5"/>
        <v>72</v>
      </c>
      <c r="B73" s="4" t="s">
        <v>286</v>
      </c>
      <c r="C73" s="4" t="s">
        <v>285</v>
      </c>
      <c r="D73" s="4" t="s">
        <v>8</v>
      </c>
      <c r="E73" s="4" t="s">
        <v>155</v>
      </c>
      <c r="F73" s="5">
        <v>3.9</v>
      </c>
      <c r="G73" s="10">
        <v>1.0</v>
      </c>
      <c r="H73" s="7"/>
      <c r="I73" s="7"/>
      <c r="J73" s="7"/>
      <c r="K73" s="7"/>
      <c r="L73" s="7"/>
      <c r="M73" s="7"/>
      <c r="N73" s="7"/>
      <c r="O73" s="7"/>
      <c r="P73" s="7"/>
      <c r="Q73" s="7"/>
      <c r="U73" s="8">
        <f t="shared" si="1"/>
        <v>3.9</v>
      </c>
      <c r="V73" s="8">
        <f t="shared" si="2"/>
        <v>26</v>
      </c>
      <c r="W73" s="8" t="str">
        <f t="shared" si="3"/>
        <v/>
      </c>
      <c r="X73" s="8" t="str">
        <f t="shared" si="4"/>
        <v>#N/A</v>
      </c>
    </row>
    <row r="74">
      <c r="A74" s="4">
        <f t="shared" si="5"/>
        <v>73</v>
      </c>
      <c r="B74" s="4" t="s">
        <v>293</v>
      </c>
      <c r="C74" s="4" t="s">
        <v>287</v>
      </c>
      <c r="D74" s="4" t="s">
        <v>8</v>
      </c>
      <c r="E74" s="4" t="s">
        <v>255</v>
      </c>
      <c r="F74" s="5">
        <v>4.4</v>
      </c>
      <c r="G74" s="10">
        <v>1.0</v>
      </c>
      <c r="H74" s="7"/>
      <c r="I74" s="7"/>
      <c r="J74" s="7"/>
      <c r="K74" s="7"/>
      <c r="L74" s="7"/>
      <c r="M74" s="7"/>
      <c r="N74" s="7"/>
      <c r="O74" s="7"/>
      <c r="P74" s="7"/>
      <c r="Q74" s="7"/>
      <c r="U74" s="8">
        <f t="shared" si="1"/>
        <v>4.4</v>
      </c>
      <c r="V74" s="8">
        <f t="shared" si="2"/>
        <v>17</v>
      </c>
      <c r="W74" s="8" t="str">
        <f t="shared" si="3"/>
        <v/>
      </c>
      <c r="X74" s="8" t="str">
        <f t="shared" si="4"/>
        <v>#N/A</v>
      </c>
    </row>
    <row r="75">
      <c r="A75" s="4">
        <f t="shared" si="5"/>
        <v>74</v>
      </c>
      <c r="B75" s="4" t="s">
        <v>274</v>
      </c>
      <c r="C75" s="4" t="s">
        <v>294</v>
      </c>
      <c r="D75" s="4" t="s">
        <v>8</v>
      </c>
      <c r="E75" s="4" t="s">
        <v>171</v>
      </c>
      <c r="F75" s="5">
        <v>2.7</v>
      </c>
      <c r="G75" s="10">
        <v>1.0</v>
      </c>
      <c r="H75" s="7"/>
      <c r="I75" s="7"/>
      <c r="J75" s="7"/>
      <c r="K75" s="7"/>
      <c r="L75" s="7"/>
      <c r="M75" s="7"/>
      <c r="N75" s="7"/>
      <c r="O75" s="7"/>
      <c r="P75" s="7"/>
      <c r="Q75" s="7"/>
      <c r="U75" s="8">
        <f t="shared" si="1"/>
        <v>2.7</v>
      </c>
      <c r="V75" s="8">
        <f t="shared" si="2"/>
        <v>35</v>
      </c>
      <c r="W75" s="8" t="str">
        <f t="shared" si="3"/>
        <v/>
      </c>
      <c r="X75" s="8" t="str">
        <f t="shared" si="4"/>
        <v>#N/A</v>
      </c>
    </row>
    <row r="76">
      <c r="A76" s="4">
        <f t="shared" si="5"/>
        <v>75</v>
      </c>
      <c r="B76" s="4" t="s">
        <v>273</v>
      </c>
      <c r="C76" s="4" t="s">
        <v>285</v>
      </c>
      <c r="D76" s="4" t="s">
        <v>10</v>
      </c>
      <c r="E76" s="4" t="s">
        <v>481</v>
      </c>
      <c r="F76" s="5">
        <v>0.6</v>
      </c>
      <c r="G76" s="10">
        <v>1.0</v>
      </c>
      <c r="H76" s="7"/>
      <c r="I76" s="7"/>
      <c r="J76" s="7"/>
      <c r="K76" s="7"/>
      <c r="L76" s="7"/>
      <c r="M76" s="7"/>
      <c r="N76" s="7"/>
      <c r="O76" s="7"/>
      <c r="P76" s="7"/>
      <c r="Q76" s="7"/>
      <c r="U76" s="8" t="str">
        <f t="shared" si="1"/>
        <v/>
      </c>
      <c r="V76" s="8" t="str">
        <f t="shared" si="2"/>
        <v>#N/A</v>
      </c>
      <c r="W76" s="8">
        <f t="shared" si="3"/>
        <v>0.6</v>
      </c>
      <c r="X76" s="8">
        <f t="shared" si="4"/>
        <v>34</v>
      </c>
    </row>
    <row r="77">
      <c r="A77" s="4">
        <f t="shared" si="5"/>
        <v>76</v>
      </c>
      <c r="B77" s="4" t="s">
        <v>273</v>
      </c>
      <c r="C77" s="4" t="s">
        <v>286</v>
      </c>
      <c r="D77" s="4" t="s">
        <v>8</v>
      </c>
      <c r="E77" s="4" t="s">
        <v>482</v>
      </c>
      <c r="F77" s="5">
        <v>4.5</v>
      </c>
      <c r="G77" s="10">
        <v>1.0</v>
      </c>
      <c r="H77" s="7"/>
      <c r="I77" s="7"/>
      <c r="J77" s="7"/>
      <c r="K77" s="7"/>
      <c r="L77" s="7"/>
      <c r="M77" s="7"/>
      <c r="N77" s="7"/>
      <c r="O77" s="7"/>
      <c r="P77" s="7"/>
      <c r="Q77" s="7"/>
      <c r="U77" s="8">
        <f t="shared" si="1"/>
        <v>4.5</v>
      </c>
      <c r="V77" s="8">
        <f t="shared" si="2"/>
        <v>16</v>
      </c>
      <c r="W77" s="8" t="str">
        <f t="shared" si="3"/>
        <v/>
      </c>
      <c r="X77" s="8" t="str">
        <f t="shared" si="4"/>
        <v>#N/A</v>
      </c>
    </row>
    <row r="78">
      <c r="A78" s="4">
        <f t="shared" si="5"/>
        <v>77</v>
      </c>
      <c r="B78" s="4" t="s">
        <v>285</v>
      </c>
      <c r="C78" s="4" t="s">
        <v>285</v>
      </c>
      <c r="D78" s="4" t="s">
        <v>10</v>
      </c>
      <c r="E78" s="4" t="s">
        <v>213</v>
      </c>
      <c r="F78" s="5">
        <v>0.5</v>
      </c>
      <c r="G78" s="10">
        <v>4.0</v>
      </c>
      <c r="H78" s="7"/>
      <c r="I78" s="7"/>
      <c r="J78" s="7"/>
      <c r="K78" s="7"/>
      <c r="L78" s="7"/>
      <c r="M78" s="7"/>
      <c r="N78" s="7"/>
      <c r="O78" s="7"/>
      <c r="P78" s="7"/>
      <c r="Q78" s="7"/>
      <c r="U78" s="8" t="str">
        <f t="shared" si="1"/>
        <v/>
      </c>
      <c r="V78" s="8" t="str">
        <f t="shared" si="2"/>
        <v>#N/A</v>
      </c>
      <c r="W78" s="8">
        <f t="shared" si="3"/>
        <v>0.5</v>
      </c>
      <c r="X78" s="8">
        <f t="shared" si="4"/>
        <v>35</v>
      </c>
    </row>
    <row r="79">
      <c r="A79" s="4">
        <f t="shared" si="5"/>
        <v>78</v>
      </c>
      <c r="B79" s="4" t="s">
        <v>285</v>
      </c>
      <c r="C79" s="4" t="s">
        <v>288</v>
      </c>
      <c r="D79" s="4" t="s">
        <v>8</v>
      </c>
      <c r="E79" s="4" t="s">
        <v>463</v>
      </c>
      <c r="F79" s="5">
        <v>2.8</v>
      </c>
      <c r="G79" s="10">
        <v>1.0</v>
      </c>
      <c r="H79" s="7"/>
      <c r="I79" s="7"/>
      <c r="J79" s="7"/>
      <c r="K79" s="7"/>
      <c r="L79" s="7"/>
      <c r="M79" s="7"/>
      <c r="N79" s="7"/>
      <c r="O79" s="7"/>
      <c r="P79" s="7"/>
      <c r="Q79" s="7"/>
      <c r="U79" s="8">
        <f t="shared" si="1"/>
        <v>2.8</v>
      </c>
      <c r="V79" s="8">
        <f t="shared" si="2"/>
        <v>34</v>
      </c>
      <c r="W79" s="8" t="str">
        <f t="shared" si="3"/>
        <v/>
      </c>
      <c r="X79" s="8" t="str">
        <f t="shared" si="4"/>
        <v>#N/A</v>
      </c>
    </row>
    <row r="80">
      <c r="A80" s="4">
        <f t="shared" si="5"/>
        <v>79</v>
      </c>
      <c r="B80" s="4" t="s">
        <v>280</v>
      </c>
      <c r="C80" s="4" t="s">
        <v>288</v>
      </c>
      <c r="D80" s="4" t="s">
        <v>8</v>
      </c>
      <c r="E80" s="4" t="s">
        <v>390</v>
      </c>
      <c r="F80" s="5">
        <v>1.0</v>
      </c>
      <c r="G80" s="10">
        <v>1.0</v>
      </c>
      <c r="H80" s="7"/>
      <c r="I80" s="7"/>
      <c r="J80" s="7"/>
      <c r="K80" s="7"/>
      <c r="L80" s="7"/>
      <c r="M80" s="7"/>
      <c r="N80" s="7"/>
      <c r="O80" s="7"/>
      <c r="P80" s="7"/>
      <c r="Q80" s="7"/>
      <c r="U80" s="8">
        <f t="shared" si="1"/>
        <v>1</v>
      </c>
      <c r="V80" s="8">
        <f t="shared" si="2"/>
        <v>65</v>
      </c>
      <c r="W80" s="8" t="str">
        <f t="shared" si="3"/>
        <v/>
      </c>
      <c r="X80" s="8" t="str">
        <f t="shared" si="4"/>
        <v>#N/A</v>
      </c>
    </row>
    <row r="81">
      <c r="A81" s="4">
        <f t="shared" si="5"/>
        <v>80</v>
      </c>
      <c r="B81" s="4" t="s">
        <v>288</v>
      </c>
      <c r="C81" s="4" t="s">
        <v>284</v>
      </c>
      <c r="D81" s="4" t="s">
        <v>8</v>
      </c>
      <c r="E81" s="4" t="s">
        <v>455</v>
      </c>
      <c r="F81" s="5">
        <v>2.0</v>
      </c>
      <c r="G81" s="10">
        <v>1.0</v>
      </c>
      <c r="H81" s="7"/>
      <c r="I81" s="7"/>
      <c r="J81" s="7"/>
      <c r="K81" s="7"/>
      <c r="L81" s="7"/>
      <c r="M81" s="7"/>
      <c r="N81" s="7"/>
      <c r="O81" s="7"/>
      <c r="P81" s="7"/>
      <c r="Q81" s="7"/>
      <c r="U81" s="8">
        <f t="shared" si="1"/>
        <v>2</v>
      </c>
      <c r="V81" s="8">
        <f t="shared" si="2"/>
        <v>42</v>
      </c>
      <c r="W81" s="8" t="str">
        <f t="shared" si="3"/>
        <v/>
      </c>
      <c r="X81" s="8" t="str">
        <f t="shared" si="4"/>
        <v>#N/A</v>
      </c>
    </row>
    <row r="82">
      <c r="A82" s="4">
        <f t="shared" si="5"/>
        <v>81</v>
      </c>
      <c r="B82" s="4" t="s">
        <v>287</v>
      </c>
      <c r="C82" s="4" t="s">
        <v>274</v>
      </c>
      <c r="D82" s="4" t="s">
        <v>10</v>
      </c>
      <c r="E82" s="4" t="s">
        <v>162</v>
      </c>
      <c r="F82" s="5">
        <v>1.0</v>
      </c>
      <c r="G82" s="10">
        <v>2.0</v>
      </c>
      <c r="H82" s="7"/>
      <c r="I82" s="7"/>
      <c r="J82" s="7"/>
      <c r="K82" s="7"/>
      <c r="L82" s="7"/>
      <c r="M82" s="7"/>
      <c r="N82" s="7"/>
      <c r="O82" s="7"/>
      <c r="P82" s="7"/>
      <c r="Q82" s="7"/>
      <c r="U82" s="8" t="str">
        <f t="shared" si="1"/>
        <v/>
      </c>
      <c r="V82" s="8" t="str">
        <f t="shared" si="2"/>
        <v>#N/A</v>
      </c>
      <c r="W82" s="8">
        <f t="shared" si="3"/>
        <v>1</v>
      </c>
      <c r="X82" s="8">
        <f t="shared" si="4"/>
        <v>29</v>
      </c>
    </row>
    <row r="83">
      <c r="A83" s="4">
        <f t="shared" si="5"/>
        <v>82</v>
      </c>
      <c r="B83" s="4" t="s">
        <v>287</v>
      </c>
      <c r="C83" s="4" t="s">
        <v>286</v>
      </c>
      <c r="D83" s="4" t="s">
        <v>8</v>
      </c>
      <c r="E83" s="4" t="s">
        <v>268</v>
      </c>
      <c r="F83" s="5">
        <v>2.3</v>
      </c>
      <c r="G83" s="10">
        <v>1.0</v>
      </c>
      <c r="H83" s="7"/>
      <c r="I83" s="7"/>
      <c r="J83" s="7"/>
      <c r="K83" s="7"/>
      <c r="L83" s="7"/>
      <c r="M83" s="7"/>
      <c r="N83" s="7"/>
      <c r="O83" s="7"/>
      <c r="P83" s="7"/>
      <c r="Q83" s="7"/>
      <c r="U83" s="8">
        <f t="shared" si="1"/>
        <v>2.3</v>
      </c>
      <c r="V83" s="8">
        <f t="shared" si="2"/>
        <v>39</v>
      </c>
      <c r="W83" s="8" t="str">
        <f t="shared" si="3"/>
        <v/>
      </c>
      <c r="X83" s="8" t="str">
        <f t="shared" si="4"/>
        <v>#N/A</v>
      </c>
    </row>
    <row r="84">
      <c r="A84" s="4">
        <f t="shared" si="5"/>
        <v>83</v>
      </c>
      <c r="B84" s="4" t="s">
        <v>284</v>
      </c>
      <c r="C84" s="4" t="s">
        <v>284</v>
      </c>
      <c r="D84" s="4" t="s">
        <v>8</v>
      </c>
      <c r="E84" s="4" t="s">
        <v>68</v>
      </c>
      <c r="F84" s="5">
        <v>3.7</v>
      </c>
      <c r="G84" s="10">
        <v>1.0</v>
      </c>
      <c r="H84" s="7"/>
      <c r="I84" s="7"/>
      <c r="J84" s="7"/>
      <c r="K84" s="7"/>
      <c r="L84" s="7"/>
      <c r="M84" s="7"/>
      <c r="N84" s="7"/>
      <c r="O84" s="7"/>
      <c r="P84" s="7"/>
      <c r="Q84" s="7"/>
      <c r="U84" s="8">
        <f t="shared" si="1"/>
        <v>3.7</v>
      </c>
      <c r="V84" s="8">
        <f t="shared" si="2"/>
        <v>28</v>
      </c>
      <c r="W84" s="8" t="str">
        <f t="shared" si="3"/>
        <v/>
      </c>
      <c r="X84" s="8" t="str">
        <f t="shared" si="4"/>
        <v>#N/A</v>
      </c>
    </row>
    <row r="85">
      <c r="A85" s="4">
        <f t="shared" si="5"/>
        <v>84</v>
      </c>
      <c r="B85" s="4" t="s">
        <v>281</v>
      </c>
      <c r="C85" s="4" t="s">
        <v>280</v>
      </c>
      <c r="D85" s="4" t="s">
        <v>8</v>
      </c>
      <c r="E85" s="4" t="s">
        <v>430</v>
      </c>
      <c r="F85" s="5">
        <v>2.6</v>
      </c>
      <c r="G85" s="10">
        <v>1.0</v>
      </c>
      <c r="H85" s="7"/>
      <c r="I85" s="7"/>
      <c r="J85" s="7"/>
      <c r="K85" s="7"/>
      <c r="L85" s="7"/>
      <c r="M85" s="7"/>
      <c r="N85" s="7"/>
      <c r="O85" s="7"/>
      <c r="P85" s="7"/>
      <c r="Q85" s="7"/>
      <c r="U85" s="8">
        <f t="shared" si="1"/>
        <v>2.6</v>
      </c>
      <c r="V85" s="8">
        <f t="shared" si="2"/>
        <v>36</v>
      </c>
      <c r="W85" s="8" t="str">
        <f t="shared" si="3"/>
        <v/>
      </c>
      <c r="X85" s="8" t="str">
        <f t="shared" si="4"/>
        <v>#N/A</v>
      </c>
    </row>
    <row r="86">
      <c r="A86" s="4">
        <f t="shared" si="5"/>
        <v>85</v>
      </c>
      <c r="B86" s="4" t="s">
        <v>294</v>
      </c>
      <c r="C86" s="4" t="s">
        <v>294</v>
      </c>
      <c r="D86" s="4" t="s">
        <v>8</v>
      </c>
      <c r="E86" s="4" t="s">
        <v>397</v>
      </c>
      <c r="F86" s="5">
        <v>1.1</v>
      </c>
      <c r="G86" s="10">
        <v>1.0</v>
      </c>
      <c r="H86" s="7"/>
      <c r="I86" s="7"/>
      <c r="J86" s="7"/>
      <c r="K86" s="7"/>
      <c r="L86" s="7"/>
      <c r="M86" s="7"/>
      <c r="N86" s="7"/>
      <c r="O86" s="7"/>
      <c r="P86" s="7"/>
      <c r="Q86" s="7"/>
      <c r="U86" s="8">
        <f t="shared" si="1"/>
        <v>1.1</v>
      </c>
      <c r="V86" s="8">
        <f t="shared" si="2"/>
        <v>57</v>
      </c>
      <c r="W86" s="8" t="str">
        <f t="shared" si="3"/>
        <v/>
      </c>
      <c r="X86" s="8" t="str">
        <f t="shared" si="4"/>
        <v>#N/A</v>
      </c>
    </row>
    <row r="87">
      <c r="A87" s="4">
        <f t="shared" si="5"/>
        <v>86</v>
      </c>
      <c r="B87" s="4" t="s">
        <v>286</v>
      </c>
      <c r="C87" s="4" t="s">
        <v>273</v>
      </c>
      <c r="D87" s="4" t="s">
        <v>8</v>
      </c>
      <c r="E87" s="4" t="s">
        <v>398</v>
      </c>
      <c r="F87" s="5">
        <v>0.8</v>
      </c>
      <c r="G87" s="10">
        <v>1.0</v>
      </c>
      <c r="H87" s="7"/>
      <c r="I87" s="7"/>
      <c r="J87" s="7"/>
      <c r="K87" s="7"/>
      <c r="L87" s="7"/>
      <c r="M87" s="7"/>
      <c r="N87" s="7"/>
      <c r="O87" s="7"/>
      <c r="P87" s="7"/>
      <c r="Q87" s="7"/>
      <c r="U87" s="8">
        <f t="shared" si="1"/>
        <v>0.8</v>
      </c>
      <c r="V87" s="8">
        <f t="shared" si="2"/>
        <v>75</v>
      </c>
      <c r="W87" s="8" t="str">
        <f t="shared" si="3"/>
        <v/>
      </c>
      <c r="X87" s="8" t="str">
        <f t="shared" si="4"/>
        <v>#N/A</v>
      </c>
    </row>
    <row r="88">
      <c r="A88" s="4">
        <f t="shared" si="5"/>
        <v>87</v>
      </c>
      <c r="B88" s="4" t="s">
        <v>293</v>
      </c>
      <c r="C88" s="4" t="s">
        <v>274</v>
      </c>
      <c r="D88" s="4" t="s">
        <v>8</v>
      </c>
      <c r="E88" s="4" t="s">
        <v>331</v>
      </c>
      <c r="F88" s="5">
        <v>1.7</v>
      </c>
      <c r="G88" s="10">
        <v>1.0</v>
      </c>
      <c r="H88" s="7"/>
      <c r="I88" s="7"/>
      <c r="J88" s="7"/>
      <c r="K88" s="7"/>
      <c r="L88" s="7"/>
      <c r="M88" s="7"/>
      <c r="N88" s="7"/>
      <c r="O88" s="7"/>
      <c r="P88" s="7"/>
      <c r="Q88" s="7"/>
      <c r="U88" s="8">
        <f t="shared" si="1"/>
        <v>1.7</v>
      </c>
      <c r="V88" s="8">
        <f t="shared" si="2"/>
        <v>45</v>
      </c>
      <c r="W88" s="8" t="str">
        <f t="shared" si="3"/>
        <v/>
      </c>
      <c r="X88" s="8" t="str">
        <f t="shared" si="4"/>
        <v>#N/A</v>
      </c>
    </row>
    <row r="89">
      <c r="A89" s="4">
        <f t="shared" si="5"/>
        <v>88</v>
      </c>
      <c r="B89" s="4" t="s">
        <v>274</v>
      </c>
      <c r="C89" s="4" t="s">
        <v>274</v>
      </c>
      <c r="D89" s="4" t="s">
        <v>8</v>
      </c>
      <c r="E89" s="4" t="s">
        <v>144</v>
      </c>
      <c r="F89" s="5">
        <v>2.5</v>
      </c>
      <c r="G89" s="10">
        <v>1.0</v>
      </c>
      <c r="H89" s="7"/>
      <c r="I89" s="7"/>
      <c r="J89" s="7"/>
      <c r="K89" s="7"/>
      <c r="L89" s="7"/>
      <c r="M89" s="7"/>
      <c r="N89" s="7"/>
      <c r="O89" s="7"/>
      <c r="P89" s="7"/>
      <c r="Q89" s="7"/>
      <c r="U89" s="8">
        <f t="shared" si="1"/>
        <v>2.5</v>
      </c>
      <c r="V89" s="8">
        <f t="shared" si="2"/>
        <v>37</v>
      </c>
      <c r="W89" s="8" t="str">
        <f t="shared" si="3"/>
        <v/>
      </c>
      <c r="X89" s="8" t="str">
        <f t="shared" si="4"/>
        <v>#N/A</v>
      </c>
    </row>
    <row r="90">
      <c r="A90" s="4">
        <f t="shared" si="5"/>
        <v>89</v>
      </c>
      <c r="B90" s="4" t="s">
        <v>273</v>
      </c>
      <c r="C90" s="4" t="s">
        <v>274</v>
      </c>
      <c r="D90" s="4" t="s">
        <v>8</v>
      </c>
      <c r="E90" s="4" t="s">
        <v>404</v>
      </c>
      <c r="F90" s="5">
        <v>1.1</v>
      </c>
      <c r="G90" s="10">
        <v>1.0</v>
      </c>
      <c r="H90" s="7"/>
      <c r="I90" s="7"/>
      <c r="J90" s="7"/>
      <c r="K90" s="7"/>
      <c r="L90" s="7"/>
      <c r="M90" s="7"/>
      <c r="N90" s="7"/>
      <c r="O90" s="7"/>
      <c r="P90" s="7"/>
      <c r="Q90" s="7"/>
      <c r="U90" s="8">
        <f t="shared" si="1"/>
        <v>1.1</v>
      </c>
      <c r="V90" s="8">
        <f t="shared" si="2"/>
        <v>57</v>
      </c>
      <c r="W90" s="8" t="str">
        <f t="shared" si="3"/>
        <v/>
      </c>
      <c r="X90" s="8" t="str">
        <f t="shared" si="4"/>
        <v>#N/A</v>
      </c>
    </row>
    <row r="91">
      <c r="A91" s="4">
        <f t="shared" si="5"/>
        <v>90</v>
      </c>
      <c r="B91" s="4" t="s">
        <v>285</v>
      </c>
      <c r="C91" s="4" t="s">
        <v>274</v>
      </c>
      <c r="D91" s="4" t="s">
        <v>8</v>
      </c>
      <c r="E91" s="4" t="s">
        <v>78</v>
      </c>
      <c r="F91" s="5">
        <v>1.8</v>
      </c>
      <c r="G91" s="10">
        <v>1.0</v>
      </c>
      <c r="H91" s="7"/>
      <c r="I91" s="7"/>
      <c r="J91" s="7"/>
      <c r="K91" s="7"/>
      <c r="L91" s="7"/>
      <c r="M91" s="7"/>
      <c r="N91" s="7"/>
      <c r="O91" s="7"/>
      <c r="P91" s="7"/>
      <c r="Q91" s="7"/>
      <c r="U91" s="8">
        <f t="shared" si="1"/>
        <v>1.8</v>
      </c>
      <c r="V91" s="8">
        <f t="shared" si="2"/>
        <v>44</v>
      </c>
      <c r="W91" s="8" t="str">
        <f t="shared" si="3"/>
        <v/>
      </c>
      <c r="X91" s="8" t="str">
        <f t="shared" si="4"/>
        <v>#N/A</v>
      </c>
    </row>
    <row r="92">
      <c r="A92" s="4">
        <f t="shared" si="5"/>
        <v>91</v>
      </c>
      <c r="B92" s="4" t="s">
        <v>280</v>
      </c>
      <c r="C92" s="4" t="s">
        <v>286</v>
      </c>
      <c r="D92" s="4" t="s">
        <v>8</v>
      </c>
      <c r="E92" s="4" t="s">
        <v>121</v>
      </c>
      <c r="F92" s="5">
        <v>0.8</v>
      </c>
      <c r="G92" s="10">
        <v>1.0</v>
      </c>
      <c r="H92" s="7"/>
      <c r="I92" s="7"/>
      <c r="J92" s="7"/>
      <c r="K92" s="7"/>
      <c r="L92" s="7"/>
      <c r="M92" s="7"/>
      <c r="N92" s="7"/>
      <c r="O92" s="7"/>
      <c r="P92" s="7"/>
      <c r="Q92" s="7"/>
      <c r="U92" s="8">
        <f t="shared" si="1"/>
        <v>0.8</v>
      </c>
      <c r="V92" s="8">
        <f t="shared" si="2"/>
        <v>75</v>
      </c>
      <c r="W92" s="8" t="str">
        <f t="shared" si="3"/>
        <v/>
      </c>
      <c r="X92" s="8" t="str">
        <f t="shared" si="4"/>
        <v>#N/A</v>
      </c>
    </row>
    <row r="93">
      <c r="A93" s="4">
        <f t="shared" si="5"/>
        <v>92</v>
      </c>
      <c r="B93" s="4" t="s">
        <v>288</v>
      </c>
      <c r="C93" s="4" t="s">
        <v>284</v>
      </c>
      <c r="D93" s="4" t="s">
        <v>8</v>
      </c>
      <c r="E93" s="4" t="s">
        <v>399</v>
      </c>
      <c r="F93" s="5">
        <v>1.6</v>
      </c>
      <c r="G93" s="10">
        <v>1.0</v>
      </c>
      <c r="H93" s="7"/>
      <c r="I93" s="7"/>
      <c r="J93" s="7"/>
      <c r="K93" s="7"/>
      <c r="L93" s="7"/>
      <c r="M93" s="7"/>
      <c r="N93" s="7"/>
      <c r="O93" s="7"/>
      <c r="P93" s="7"/>
      <c r="Q93" s="7"/>
      <c r="U93" s="8">
        <f t="shared" si="1"/>
        <v>1.6</v>
      </c>
      <c r="V93" s="8">
        <f t="shared" si="2"/>
        <v>46</v>
      </c>
      <c r="W93" s="8" t="str">
        <f t="shared" si="3"/>
        <v/>
      </c>
      <c r="X93" s="8" t="str">
        <f t="shared" si="4"/>
        <v>#N/A</v>
      </c>
    </row>
    <row r="94">
      <c r="A94" s="4">
        <f t="shared" si="5"/>
        <v>93</v>
      </c>
      <c r="B94" s="4" t="s">
        <v>287</v>
      </c>
      <c r="C94" s="4" t="s">
        <v>288</v>
      </c>
      <c r="D94" s="4" t="s">
        <v>8</v>
      </c>
      <c r="E94" s="4" t="s">
        <v>96</v>
      </c>
      <c r="F94" s="5">
        <v>3.0</v>
      </c>
      <c r="G94" s="10">
        <v>1.0</v>
      </c>
      <c r="H94" s="7"/>
      <c r="I94" s="7"/>
      <c r="J94" s="7"/>
      <c r="K94" s="7"/>
      <c r="L94" s="7"/>
      <c r="M94" s="7"/>
      <c r="N94" s="7"/>
      <c r="O94" s="7"/>
      <c r="P94" s="7"/>
      <c r="Q94" s="7"/>
      <c r="U94" s="8">
        <f t="shared" si="1"/>
        <v>3</v>
      </c>
      <c r="V94" s="8">
        <f t="shared" si="2"/>
        <v>33</v>
      </c>
      <c r="W94" s="8" t="str">
        <f t="shared" si="3"/>
        <v/>
      </c>
      <c r="X94" s="8" t="str">
        <f t="shared" si="4"/>
        <v>#N/A</v>
      </c>
    </row>
    <row r="95">
      <c r="A95" s="4">
        <f t="shared" si="5"/>
        <v>94</v>
      </c>
      <c r="B95" s="4" t="s">
        <v>284</v>
      </c>
      <c r="C95" s="4" t="s">
        <v>284</v>
      </c>
      <c r="D95" s="4" t="s">
        <v>8</v>
      </c>
      <c r="E95" s="4" t="s">
        <v>94</v>
      </c>
      <c r="F95" s="5">
        <v>2.0</v>
      </c>
      <c r="G95" s="10">
        <v>1.0</v>
      </c>
      <c r="H95" s="7"/>
      <c r="I95" s="7"/>
      <c r="J95" s="7"/>
      <c r="K95" s="7"/>
      <c r="L95" s="7"/>
      <c r="M95" s="7"/>
      <c r="N95" s="7"/>
      <c r="O95" s="7"/>
      <c r="P95" s="7"/>
      <c r="Q95" s="7"/>
      <c r="U95" s="8">
        <f t="shared" si="1"/>
        <v>2</v>
      </c>
      <c r="V95" s="8">
        <f t="shared" si="2"/>
        <v>42</v>
      </c>
      <c r="W95" s="8" t="str">
        <f t="shared" si="3"/>
        <v/>
      </c>
      <c r="X95" s="8" t="str">
        <f t="shared" si="4"/>
        <v>#N/A</v>
      </c>
    </row>
    <row r="96">
      <c r="A96" s="4">
        <f t="shared" si="5"/>
        <v>95</v>
      </c>
      <c r="B96" s="4" t="s">
        <v>281</v>
      </c>
      <c r="C96" s="4" t="s">
        <v>286</v>
      </c>
      <c r="D96" s="4" t="s">
        <v>8</v>
      </c>
      <c r="E96" s="4" t="s">
        <v>483</v>
      </c>
      <c r="F96" s="5">
        <v>1.2</v>
      </c>
      <c r="G96" s="10">
        <v>1.0</v>
      </c>
      <c r="H96" s="7"/>
      <c r="I96" s="7"/>
      <c r="J96" s="7"/>
      <c r="K96" s="7"/>
      <c r="L96" s="7"/>
      <c r="M96" s="7"/>
      <c r="N96" s="7"/>
      <c r="O96" s="7"/>
      <c r="P96" s="7"/>
      <c r="Q96" s="7"/>
      <c r="U96" s="8">
        <f t="shared" si="1"/>
        <v>1.2</v>
      </c>
      <c r="V96" s="8">
        <f t="shared" si="2"/>
        <v>54</v>
      </c>
      <c r="W96" s="8" t="str">
        <f t="shared" si="3"/>
        <v/>
      </c>
      <c r="X96" s="8" t="str">
        <f t="shared" si="4"/>
        <v>#N/A</v>
      </c>
    </row>
    <row r="97">
      <c r="A97" s="4">
        <f t="shared" si="5"/>
        <v>96</v>
      </c>
      <c r="B97" s="4" t="s">
        <v>294</v>
      </c>
      <c r="C97" s="4" t="s">
        <v>280</v>
      </c>
      <c r="D97" s="4" t="s">
        <v>8</v>
      </c>
      <c r="E97" s="4" t="s">
        <v>135</v>
      </c>
      <c r="F97" s="5">
        <v>0.6</v>
      </c>
      <c r="G97" s="10">
        <v>1.0</v>
      </c>
      <c r="H97" s="7"/>
      <c r="I97" s="7"/>
      <c r="J97" s="7"/>
      <c r="K97" s="7"/>
      <c r="L97" s="7"/>
      <c r="M97" s="7"/>
      <c r="N97" s="7"/>
      <c r="O97" s="7"/>
      <c r="P97" s="7"/>
      <c r="Q97" s="7"/>
      <c r="U97" s="8">
        <f t="shared" si="1"/>
        <v>0.6</v>
      </c>
      <c r="V97" s="8">
        <f t="shared" si="2"/>
        <v>89</v>
      </c>
      <c r="W97" s="8" t="str">
        <f t="shared" si="3"/>
        <v/>
      </c>
      <c r="X97" s="8" t="str">
        <f t="shared" si="4"/>
        <v>#N/A</v>
      </c>
    </row>
    <row r="98">
      <c r="A98" s="4">
        <f t="shared" si="5"/>
        <v>97</v>
      </c>
      <c r="B98" s="4" t="s">
        <v>286</v>
      </c>
      <c r="C98" s="4" t="s">
        <v>284</v>
      </c>
      <c r="D98" s="4" t="s">
        <v>8</v>
      </c>
      <c r="E98" s="4" t="s">
        <v>322</v>
      </c>
      <c r="F98" s="5">
        <v>0.8</v>
      </c>
      <c r="G98" s="10">
        <v>1.0</v>
      </c>
      <c r="H98" s="7"/>
      <c r="I98" s="7"/>
      <c r="J98" s="7"/>
      <c r="K98" s="7"/>
      <c r="L98" s="7"/>
      <c r="M98" s="7"/>
      <c r="N98" s="7"/>
      <c r="O98" s="7"/>
      <c r="P98" s="7"/>
      <c r="Q98" s="7"/>
      <c r="U98" s="8">
        <f t="shared" si="1"/>
        <v>0.8</v>
      </c>
      <c r="V98" s="8">
        <f t="shared" si="2"/>
        <v>75</v>
      </c>
      <c r="W98" s="8" t="str">
        <f t="shared" si="3"/>
        <v/>
      </c>
      <c r="X98" s="8" t="str">
        <f t="shared" si="4"/>
        <v>#N/A</v>
      </c>
    </row>
    <row r="99">
      <c r="A99" s="4">
        <f t="shared" si="5"/>
        <v>98</v>
      </c>
      <c r="B99" s="4" t="s">
        <v>293</v>
      </c>
      <c r="C99" s="4" t="s">
        <v>274</v>
      </c>
      <c r="D99" s="4" t="s">
        <v>8</v>
      </c>
      <c r="E99" s="4" t="s">
        <v>341</v>
      </c>
      <c r="F99" s="5">
        <v>1.1</v>
      </c>
      <c r="G99" s="10">
        <v>2.0</v>
      </c>
      <c r="H99" s="7"/>
      <c r="I99" s="7"/>
      <c r="J99" s="7"/>
      <c r="K99" s="7"/>
      <c r="L99" s="7"/>
      <c r="M99" s="7"/>
      <c r="N99" s="7"/>
      <c r="O99" s="7"/>
      <c r="P99" s="7"/>
      <c r="Q99" s="7"/>
      <c r="U99" s="8">
        <f t="shared" si="1"/>
        <v>1.1</v>
      </c>
      <c r="V99" s="8">
        <f t="shared" si="2"/>
        <v>57</v>
      </c>
      <c r="W99" s="8" t="str">
        <f t="shared" si="3"/>
        <v/>
      </c>
      <c r="X99" s="8" t="str">
        <f t="shared" si="4"/>
        <v>#N/A</v>
      </c>
    </row>
    <row r="100">
      <c r="A100" s="4">
        <f t="shared" si="5"/>
        <v>99</v>
      </c>
      <c r="B100" s="4" t="s">
        <v>274</v>
      </c>
      <c r="C100" s="4" t="s">
        <v>293</v>
      </c>
      <c r="D100" s="4" t="s">
        <v>8</v>
      </c>
      <c r="E100" s="4" t="s">
        <v>408</v>
      </c>
      <c r="F100" s="5">
        <v>3.4</v>
      </c>
      <c r="G100" s="10">
        <v>2.0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U100" s="8">
        <f t="shared" si="1"/>
        <v>3.4</v>
      </c>
      <c r="V100" s="8">
        <f t="shared" si="2"/>
        <v>30</v>
      </c>
      <c r="W100" s="8" t="str">
        <f t="shared" si="3"/>
        <v/>
      </c>
      <c r="X100" s="8" t="str">
        <f t="shared" si="4"/>
        <v>#N/A</v>
      </c>
    </row>
    <row r="101">
      <c r="A101" s="4">
        <f t="shared" si="5"/>
        <v>100</v>
      </c>
      <c r="B101" s="4" t="s">
        <v>273</v>
      </c>
      <c r="C101" s="4" t="s">
        <v>274</v>
      </c>
      <c r="D101" s="4" t="s">
        <v>8</v>
      </c>
      <c r="E101" s="4" t="s">
        <v>484</v>
      </c>
      <c r="F101" s="5">
        <v>0.9</v>
      </c>
      <c r="G101" s="10">
        <v>2.0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U101" s="8">
        <f t="shared" si="1"/>
        <v>0.9</v>
      </c>
      <c r="V101" s="8">
        <f t="shared" si="2"/>
        <v>69</v>
      </c>
      <c r="W101" s="8" t="str">
        <f t="shared" si="3"/>
        <v/>
      </c>
      <c r="X101" s="8" t="str">
        <f t="shared" si="4"/>
        <v>#N/A</v>
      </c>
    </row>
    <row r="102">
      <c r="A102" s="4">
        <f t="shared" si="5"/>
        <v>101</v>
      </c>
      <c r="B102" s="4" t="s">
        <v>285</v>
      </c>
      <c r="C102" s="4" t="s">
        <v>284</v>
      </c>
      <c r="D102" s="4" t="s">
        <v>8</v>
      </c>
      <c r="E102" s="4" t="s">
        <v>485</v>
      </c>
      <c r="F102" s="5">
        <v>0.7</v>
      </c>
      <c r="G102" s="10">
        <v>1.0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U102" s="8">
        <f t="shared" si="1"/>
        <v>0.7</v>
      </c>
      <c r="V102" s="8">
        <f t="shared" si="2"/>
        <v>84</v>
      </c>
      <c r="W102" s="8" t="str">
        <f t="shared" si="3"/>
        <v/>
      </c>
      <c r="X102" s="8" t="str">
        <f t="shared" si="4"/>
        <v>#N/A</v>
      </c>
    </row>
    <row r="103">
      <c r="A103" s="4">
        <f t="shared" si="5"/>
        <v>102</v>
      </c>
      <c r="B103" s="4" t="s">
        <v>280</v>
      </c>
      <c r="C103" s="4" t="s">
        <v>274</v>
      </c>
      <c r="D103" s="4" t="s">
        <v>8</v>
      </c>
      <c r="E103" s="4" t="s">
        <v>102</v>
      </c>
      <c r="F103" s="5">
        <v>1.0</v>
      </c>
      <c r="G103" s="10">
        <v>1.0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U103" s="8">
        <f t="shared" si="1"/>
        <v>1</v>
      </c>
      <c r="V103" s="8">
        <f t="shared" si="2"/>
        <v>65</v>
      </c>
      <c r="W103" s="8" t="str">
        <f t="shared" si="3"/>
        <v/>
      </c>
      <c r="X103" s="8" t="str">
        <f t="shared" si="4"/>
        <v>#N/A</v>
      </c>
    </row>
    <row r="104">
      <c r="A104" s="4">
        <f t="shared" si="5"/>
        <v>103</v>
      </c>
      <c r="B104" s="4" t="s">
        <v>288</v>
      </c>
      <c r="C104" s="4" t="s">
        <v>294</v>
      </c>
      <c r="D104" s="4" t="s">
        <v>8</v>
      </c>
      <c r="E104" s="4" t="s">
        <v>160</v>
      </c>
      <c r="F104" s="5">
        <v>1.1</v>
      </c>
      <c r="G104" s="10">
        <v>1.0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U104" s="8">
        <f t="shared" si="1"/>
        <v>1.1</v>
      </c>
      <c r="V104" s="8">
        <f t="shared" si="2"/>
        <v>57</v>
      </c>
      <c r="W104" s="8" t="str">
        <f t="shared" si="3"/>
        <v/>
      </c>
      <c r="X104" s="8" t="str">
        <f t="shared" si="4"/>
        <v>#N/A</v>
      </c>
    </row>
    <row r="105">
      <c r="A105" s="4">
        <f t="shared" si="5"/>
        <v>104</v>
      </c>
      <c r="B105" s="4" t="s">
        <v>287</v>
      </c>
      <c r="C105" s="4" t="s">
        <v>274</v>
      </c>
      <c r="D105" s="4" t="s">
        <v>8</v>
      </c>
      <c r="E105" s="4" t="s">
        <v>461</v>
      </c>
      <c r="F105" s="5">
        <v>1.0</v>
      </c>
      <c r="G105" s="10">
        <v>1.0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U105" s="8">
        <f t="shared" si="1"/>
        <v>1</v>
      </c>
      <c r="V105" s="8">
        <f t="shared" si="2"/>
        <v>65</v>
      </c>
      <c r="W105" s="8" t="str">
        <f t="shared" si="3"/>
        <v/>
      </c>
      <c r="X105" s="8" t="str">
        <f t="shared" si="4"/>
        <v>#N/A</v>
      </c>
    </row>
    <row r="106">
      <c r="A106" s="4">
        <f t="shared" si="5"/>
        <v>105</v>
      </c>
      <c r="B106" s="4" t="s">
        <v>284</v>
      </c>
      <c r="C106" s="4" t="s">
        <v>284</v>
      </c>
      <c r="D106" s="4" t="s">
        <v>8</v>
      </c>
      <c r="E106" s="4" t="s">
        <v>388</v>
      </c>
      <c r="F106" s="5">
        <v>0.8</v>
      </c>
      <c r="G106" s="10">
        <v>2.0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  <c r="U106" s="8">
        <f t="shared" si="1"/>
        <v>0.8</v>
      </c>
      <c r="V106" s="8">
        <f t="shared" si="2"/>
        <v>75</v>
      </c>
      <c r="W106" s="8" t="str">
        <f t="shared" si="3"/>
        <v/>
      </c>
      <c r="X106" s="8" t="str">
        <f t="shared" si="4"/>
        <v>#N/A</v>
      </c>
    </row>
    <row r="107">
      <c r="A107" s="4">
        <f t="shared" si="5"/>
        <v>106</v>
      </c>
      <c r="B107" s="4" t="s">
        <v>281</v>
      </c>
      <c r="C107" s="4" t="s">
        <v>288</v>
      </c>
      <c r="D107" s="4" t="s">
        <v>8</v>
      </c>
      <c r="E107" s="4" t="s">
        <v>207</v>
      </c>
      <c r="F107" s="5">
        <v>0.8</v>
      </c>
      <c r="G107" s="10">
        <v>1.0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U107" s="8">
        <f t="shared" si="1"/>
        <v>0.8</v>
      </c>
      <c r="V107" s="8">
        <f t="shared" si="2"/>
        <v>75</v>
      </c>
      <c r="W107" s="8" t="str">
        <f t="shared" si="3"/>
        <v/>
      </c>
      <c r="X107" s="8" t="str">
        <f t="shared" si="4"/>
        <v>#N/A</v>
      </c>
    </row>
    <row r="108">
      <c r="A108" s="4">
        <f t="shared" si="5"/>
        <v>107</v>
      </c>
      <c r="B108" s="4" t="s">
        <v>294</v>
      </c>
      <c r="C108" s="4" t="s">
        <v>293</v>
      </c>
      <c r="D108" s="4" t="s">
        <v>8</v>
      </c>
      <c r="E108" s="4" t="s">
        <v>486</v>
      </c>
      <c r="F108" s="5">
        <v>0.6</v>
      </c>
      <c r="G108" s="10">
        <v>1.0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U108" s="8">
        <f t="shared" si="1"/>
        <v>0.6</v>
      </c>
      <c r="V108" s="8">
        <f t="shared" si="2"/>
        <v>89</v>
      </c>
      <c r="W108" s="8" t="str">
        <f t="shared" si="3"/>
        <v/>
      </c>
      <c r="X108" s="8" t="str">
        <f t="shared" si="4"/>
        <v>#N/A</v>
      </c>
    </row>
    <row r="109">
      <c r="A109" s="4">
        <f t="shared" si="5"/>
        <v>108</v>
      </c>
      <c r="B109" s="4" t="s">
        <v>286</v>
      </c>
      <c r="C109" s="4" t="s">
        <v>294</v>
      </c>
      <c r="D109" s="4" t="s">
        <v>8</v>
      </c>
      <c r="E109" s="4" t="s">
        <v>239</v>
      </c>
      <c r="F109" s="5">
        <v>0.8</v>
      </c>
      <c r="G109" s="10">
        <v>3.0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r="U109" s="8">
        <f t="shared" si="1"/>
        <v>0.8</v>
      </c>
      <c r="V109" s="8">
        <f t="shared" si="2"/>
        <v>75</v>
      </c>
      <c r="W109" s="8" t="str">
        <f t="shared" si="3"/>
        <v/>
      </c>
      <c r="X109" s="8" t="str">
        <f t="shared" si="4"/>
        <v>#N/A</v>
      </c>
    </row>
    <row r="110">
      <c r="A110" s="4">
        <f t="shared" si="5"/>
        <v>109</v>
      </c>
      <c r="B110" s="4" t="s">
        <v>293</v>
      </c>
      <c r="C110" s="4" t="s">
        <v>293</v>
      </c>
      <c r="D110" s="4" t="s">
        <v>8</v>
      </c>
      <c r="E110" s="4" t="s">
        <v>487</v>
      </c>
      <c r="F110" s="5">
        <v>0.6</v>
      </c>
      <c r="G110" s="10">
        <v>1.0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U110" s="8">
        <f t="shared" si="1"/>
        <v>0.6</v>
      </c>
      <c r="V110" s="8">
        <f t="shared" si="2"/>
        <v>89</v>
      </c>
      <c r="W110" s="8" t="str">
        <f t="shared" si="3"/>
        <v/>
      </c>
      <c r="X110" s="8" t="str">
        <f t="shared" si="4"/>
        <v>#N/A</v>
      </c>
    </row>
    <row r="111">
      <c r="A111" s="4">
        <f t="shared" si="5"/>
        <v>110</v>
      </c>
      <c r="B111" s="4" t="s">
        <v>274</v>
      </c>
      <c r="C111" s="4" t="s">
        <v>274</v>
      </c>
      <c r="D111" s="4" t="s">
        <v>8</v>
      </c>
      <c r="E111" s="4" t="s">
        <v>462</v>
      </c>
      <c r="F111" s="5">
        <v>1.1</v>
      </c>
      <c r="G111" s="10">
        <v>1.0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U111" s="8">
        <f t="shared" si="1"/>
        <v>1.1</v>
      </c>
      <c r="V111" s="8">
        <f t="shared" si="2"/>
        <v>57</v>
      </c>
      <c r="W111" s="8" t="str">
        <f t="shared" si="3"/>
        <v/>
      </c>
      <c r="X111" s="8" t="str">
        <f t="shared" si="4"/>
        <v>#N/A</v>
      </c>
    </row>
    <row r="112">
      <c r="A112" s="4">
        <f t="shared" si="5"/>
        <v>111</v>
      </c>
      <c r="B112" s="4" t="s">
        <v>273</v>
      </c>
      <c r="C112" s="4" t="s">
        <v>281</v>
      </c>
      <c r="D112" s="4" t="s">
        <v>8</v>
      </c>
      <c r="E112" s="4" t="s">
        <v>488</v>
      </c>
      <c r="F112" s="5">
        <v>1.3</v>
      </c>
      <c r="G112" s="10">
        <v>1.0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U112" s="8">
        <f t="shared" si="1"/>
        <v>1.3</v>
      </c>
      <c r="V112" s="8">
        <f t="shared" si="2"/>
        <v>51</v>
      </c>
      <c r="W112" s="8" t="str">
        <f t="shared" si="3"/>
        <v/>
      </c>
      <c r="X112" s="8" t="str">
        <f t="shared" si="4"/>
        <v>#N/A</v>
      </c>
    </row>
    <row r="113">
      <c r="A113" s="4">
        <f t="shared" si="5"/>
        <v>112</v>
      </c>
      <c r="B113" s="4" t="s">
        <v>285</v>
      </c>
      <c r="C113" s="4" t="s">
        <v>284</v>
      </c>
      <c r="D113" s="4" t="s">
        <v>8</v>
      </c>
      <c r="E113" s="4" t="s">
        <v>451</v>
      </c>
      <c r="F113" s="5">
        <v>1.1</v>
      </c>
      <c r="G113" s="10">
        <v>1.0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U113" s="8">
        <f t="shared" si="1"/>
        <v>1.1</v>
      </c>
      <c r="V113" s="8">
        <f t="shared" si="2"/>
        <v>57</v>
      </c>
      <c r="W113" s="8" t="str">
        <f t="shared" si="3"/>
        <v/>
      </c>
      <c r="X113" s="8" t="str">
        <f t="shared" si="4"/>
        <v>#N/A</v>
      </c>
    </row>
    <row r="114">
      <c r="A114" s="4">
        <f t="shared" si="5"/>
        <v>113</v>
      </c>
      <c r="B114" s="4" t="s">
        <v>280</v>
      </c>
      <c r="C114" s="4" t="s">
        <v>286</v>
      </c>
      <c r="D114" s="4" t="s">
        <v>8</v>
      </c>
      <c r="E114" s="4" t="s">
        <v>336</v>
      </c>
      <c r="F114" s="5">
        <v>0.9</v>
      </c>
      <c r="G114" s="10">
        <v>1.0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U114" s="8">
        <f t="shared" si="1"/>
        <v>0.9</v>
      </c>
      <c r="V114" s="8">
        <f t="shared" si="2"/>
        <v>69</v>
      </c>
      <c r="W114" s="8" t="str">
        <f t="shared" si="3"/>
        <v/>
      </c>
      <c r="X114" s="8" t="str">
        <f t="shared" si="4"/>
        <v>#N/A</v>
      </c>
    </row>
    <row r="115">
      <c r="A115" s="4">
        <f t="shared" si="5"/>
        <v>114</v>
      </c>
      <c r="B115" s="4" t="s">
        <v>288</v>
      </c>
      <c r="C115" s="4" t="s">
        <v>288</v>
      </c>
      <c r="D115" s="4" t="s">
        <v>8</v>
      </c>
      <c r="E115" s="4" t="s">
        <v>489</v>
      </c>
      <c r="F115" s="5">
        <v>0.5</v>
      </c>
      <c r="G115" s="10">
        <v>2.0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U115" s="8">
        <f t="shared" si="1"/>
        <v>0.5</v>
      </c>
      <c r="V115" s="8">
        <f t="shared" si="2"/>
        <v>101</v>
      </c>
      <c r="W115" s="8" t="str">
        <f t="shared" si="3"/>
        <v/>
      </c>
      <c r="X115" s="8" t="str">
        <f t="shared" si="4"/>
        <v>#N/A</v>
      </c>
    </row>
    <row r="116">
      <c r="A116" s="4">
        <f t="shared" si="5"/>
        <v>115</v>
      </c>
      <c r="B116" s="4" t="s">
        <v>287</v>
      </c>
      <c r="C116" s="4" t="s">
        <v>288</v>
      </c>
      <c r="D116" s="4" t="s">
        <v>8</v>
      </c>
      <c r="E116" s="4" t="s">
        <v>225</v>
      </c>
      <c r="F116" s="5">
        <v>2.4</v>
      </c>
      <c r="G116" s="10">
        <v>1.0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U116" s="8">
        <f t="shared" si="1"/>
        <v>2.4</v>
      </c>
      <c r="V116" s="8">
        <f t="shared" si="2"/>
        <v>38</v>
      </c>
      <c r="W116" s="8" t="str">
        <f t="shared" si="3"/>
        <v/>
      </c>
      <c r="X116" s="8" t="str">
        <f t="shared" si="4"/>
        <v>#N/A</v>
      </c>
    </row>
    <row r="117">
      <c r="A117" s="4">
        <f t="shared" si="5"/>
        <v>116</v>
      </c>
      <c r="B117" s="4" t="s">
        <v>284</v>
      </c>
      <c r="C117" s="4" t="s">
        <v>284</v>
      </c>
      <c r="D117" s="4" t="s">
        <v>8</v>
      </c>
      <c r="E117" s="4" t="s">
        <v>405</v>
      </c>
      <c r="F117" s="5">
        <v>0.8</v>
      </c>
      <c r="G117" s="10">
        <v>1.0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U117" s="8">
        <f t="shared" si="1"/>
        <v>0.8</v>
      </c>
      <c r="V117" s="8">
        <f t="shared" si="2"/>
        <v>75</v>
      </c>
      <c r="W117" s="8" t="str">
        <f t="shared" si="3"/>
        <v/>
      </c>
      <c r="X117" s="8" t="str">
        <f t="shared" si="4"/>
        <v>#N/A</v>
      </c>
    </row>
    <row r="118">
      <c r="A118" s="4">
        <f t="shared" si="5"/>
        <v>117</v>
      </c>
      <c r="B118" s="4" t="s">
        <v>281</v>
      </c>
      <c r="C118" s="4" t="s">
        <v>286</v>
      </c>
      <c r="D118" s="4" t="s">
        <v>8</v>
      </c>
      <c r="E118" s="4" t="s">
        <v>259</v>
      </c>
      <c r="F118" s="5">
        <v>0.7</v>
      </c>
      <c r="G118" s="10">
        <v>1.0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U118" s="8">
        <f t="shared" si="1"/>
        <v>0.7</v>
      </c>
      <c r="V118" s="8">
        <f t="shared" si="2"/>
        <v>84</v>
      </c>
      <c r="W118" s="8" t="str">
        <f t="shared" si="3"/>
        <v/>
      </c>
      <c r="X118" s="8" t="str">
        <f t="shared" si="4"/>
        <v>#N/A</v>
      </c>
    </row>
    <row r="119">
      <c r="A119" s="4">
        <f t="shared" si="5"/>
        <v>118</v>
      </c>
      <c r="B119" s="4" t="s">
        <v>294</v>
      </c>
      <c r="C119" s="4" t="s">
        <v>273</v>
      </c>
      <c r="D119" s="4" t="s">
        <v>8</v>
      </c>
      <c r="E119" s="4" t="s">
        <v>424</v>
      </c>
      <c r="F119" s="5">
        <v>0.9</v>
      </c>
      <c r="G119" s="10">
        <v>1.0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U119" s="8">
        <f t="shared" si="1"/>
        <v>0.9</v>
      </c>
      <c r="V119" s="8">
        <f t="shared" si="2"/>
        <v>69</v>
      </c>
      <c r="W119" s="8" t="str">
        <f t="shared" si="3"/>
        <v/>
      </c>
      <c r="X119" s="8" t="str">
        <f t="shared" si="4"/>
        <v>#N/A</v>
      </c>
    </row>
    <row r="120">
      <c r="A120" s="4">
        <f t="shared" si="5"/>
        <v>119</v>
      </c>
      <c r="B120" s="4" t="s">
        <v>286</v>
      </c>
      <c r="C120" s="4" t="s">
        <v>286</v>
      </c>
      <c r="D120" s="4" t="s">
        <v>8</v>
      </c>
      <c r="E120" s="4" t="s">
        <v>380</v>
      </c>
      <c r="F120" s="5">
        <v>0.8</v>
      </c>
      <c r="G120" s="10">
        <v>1.0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U120" s="8">
        <f t="shared" si="1"/>
        <v>0.8</v>
      </c>
      <c r="V120" s="8">
        <f t="shared" si="2"/>
        <v>75</v>
      </c>
      <c r="W120" s="8" t="str">
        <f t="shared" si="3"/>
        <v/>
      </c>
      <c r="X120" s="8" t="str">
        <f t="shared" si="4"/>
        <v>#N/A</v>
      </c>
    </row>
    <row r="121">
      <c r="A121" s="4">
        <f t="shared" si="5"/>
        <v>120</v>
      </c>
      <c r="B121" s="4" t="s">
        <v>293</v>
      </c>
      <c r="C121" s="4" t="s">
        <v>293</v>
      </c>
      <c r="D121" s="4" t="s">
        <v>8</v>
      </c>
      <c r="E121" s="4" t="s">
        <v>490</v>
      </c>
      <c r="F121" s="5">
        <v>0.5</v>
      </c>
      <c r="G121" s="10">
        <v>1.0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U121" s="8">
        <f t="shared" si="1"/>
        <v>0.5</v>
      </c>
      <c r="V121" s="8">
        <f t="shared" si="2"/>
        <v>101</v>
      </c>
      <c r="W121" s="8" t="str">
        <f t="shared" si="3"/>
        <v/>
      </c>
      <c r="X121" s="8" t="str">
        <f t="shared" si="4"/>
        <v>#N/A</v>
      </c>
    </row>
    <row r="122">
      <c r="A122" s="4">
        <f t="shared" si="5"/>
        <v>121</v>
      </c>
      <c r="B122" s="4" t="s">
        <v>274</v>
      </c>
      <c r="C122" s="4" t="s">
        <v>274</v>
      </c>
      <c r="D122" s="4" t="s">
        <v>8</v>
      </c>
      <c r="E122" s="4" t="s">
        <v>491</v>
      </c>
      <c r="F122" s="5">
        <v>0.5</v>
      </c>
      <c r="G122" s="10">
        <v>1.0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U122" s="8">
        <f t="shared" si="1"/>
        <v>0.5</v>
      </c>
      <c r="V122" s="8">
        <f t="shared" si="2"/>
        <v>101</v>
      </c>
      <c r="W122" s="8" t="str">
        <f t="shared" si="3"/>
        <v/>
      </c>
      <c r="X122" s="8" t="str">
        <f t="shared" si="4"/>
        <v>#N/A</v>
      </c>
    </row>
    <row r="123">
      <c r="A123" s="4">
        <f t="shared" si="5"/>
        <v>122</v>
      </c>
      <c r="B123" s="4" t="s">
        <v>273</v>
      </c>
      <c r="C123" s="4" t="s">
        <v>286</v>
      </c>
      <c r="D123" s="4" t="s">
        <v>8</v>
      </c>
      <c r="E123" s="4" t="s">
        <v>350</v>
      </c>
      <c r="F123" s="5">
        <v>0.7</v>
      </c>
      <c r="G123" s="10">
        <v>1.0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U123" s="8">
        <f t="shared" si="1"/>
        <v>0.7</v>
      </c>
      <c r="V123" s="8">
        <f t="shared" si="2"/>
        <v>84</v>
      </c>
      <c r="W123" s="8" t="str">
        <f t="shared" si="3"/>
        <v/>
      </c>
      <c r="X123" s="8" t="str">
        <f t="shared" si="4"/>
        <v>#N/A</v>
      </c>
    </row>
    <row r="124">
      <c r="A124" s="4">
        <f t="shared" si="5"/>
        <v>123</v>
      </c>
      <c r="B124" s="4" t="s">
        <v>285</v>
      </c>
      <c r="C124" s="4" t="s">
        <v>281</v>
      </c>
      <c r="D124" s="4" t="s">
        <v>8</v>
      </c>
      <c r="E124" s="4" t="s">
        <v>419</v>
      </c>
      <c r="F124" s="5">
        <v>1.3</v>
      </c>
      <c r="G124" s="10">
        <v>1.0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U124" s="8">
        <f t="shared" si="1"/>
        <v>1.3</v>
      </c>
      <c r="V124" s="8">
        <f t="shared" si="2"/>
        <v>51</v>
      </c>
      <c r="W124" s="8" t="str">
        <f t="shared" si="3"/>
        <v/>
      </c>
      <c r="X124" s="8" t="str">
        <f t="shared" si="4"/>
        <v>#N/A</v>
      </c>
    </row>
    <row r="125">
      <c r="A125" s="4">
        <f t="shared" si="5"/>
        <v>124</v>
      </c>
      <c r="B125" s="4" t="s">
        <v>280</v>
      </c>
      <c r="C125" s="4" t="s">
        <v>274</v>
      </c>
      <c r="D125" s="4" t="s">
        <v>8</v>
      </c>
      <c r="E125" s="4" t="s">
        <v>492</v>
      </c>
      <c r="F125" s="5">
        <v>1.1</v>
      </c>
      <c r="G125" s="10">
        <v>1.0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U125" s="8">
        <f t="shared" si="1"/>
        <v>1.1</v>
      </c>
      <c r="V125" s="8">
        <f t="shared" si="2"/>
        <v>57</v>
      </c>
      <c r="W125" s="8" t="str">
        <f t="shared" si="3"/>
        <v/>
      </c>
      <c r="X125" s="8" t="str">
        <f t="shared" si="4"/>
        <v>#N/A</v>
      </c>
    </row>
    <row r="126">
      <c r="A126" s="4">
        <f t="shared" si="5"/>
        <v>125</v>
      </c>
      <c r="B126" s="4" t="s">
        <v>288</v>
      </c>
      <c r="C126" s="4" t="s">
        <v>286</v>
      </c>
      <c r="D126" s="4" t="s">
        <v>8</v>
      </c>
      <c r="E126" s="4" t="s">
        <v>375</v>
      </c>
      <c r="F126" s="5">
        <v>1.2</v>
      </c>
      <c r="G126" s="10">
        <v>2.0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U126" s="8">
        <f t="shared" si="1"/>
        <v>1.2</v>
      </c>
      <c r="V126" s="8">
        <f t="shared" si="2"/>
        <v>54</v>
      </c>
      <c r="W126" s="8" t="str">
        <f t="shared" si="3"/>
        <v/>
      </c>
      <c r="X126" s="8" t="str">
        <f t="shared" si="4"/>
        <v>#N/A</v>
      </c>
    </row>
    <row r="127">
      <c r="A127" s="4">
        <f t="shared" si="5"/>
        <v>126</v>
      </c>
      <c r="B127" s="4" t="s">
        <v>287</v>
      </c>
      <c r="C127" s="4" t="s">
        <v>287</v>
      </c>
      <c r="D127" s="4" t="s">
        <v>8</v>
      </c>
      <c r="E127" s="4" t="s">
        <v>493</v>
      </c>
      <c r="F127" s="5">
        <v>0.5</v>
      </c>
      <c r="G127" s="10">
        <v>1.0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U127" s="8">
        <f t="shared" si="1"/>
        <v>0.5</v>
      </c>
      <c r="V127" s="8">
        <f t="shared" si="2"/>
        <v>101</v>
      </c>
      <c r="W127" s="8" t="str">
        <f t="shared" si="3"/>
        <v/>
      </c>
      <c r="X127" s="8" t="str">
        <f t="shared" si="4"/>
        <v>#N/A</v>
      </c>
    </row>
    <row r="128">
      <c r="A128" s="4">
        <f t="shared" si="5"/>
        <v>127</v>
      </c>
      <c r="B128" s="4" t="s">
        <v>281</v>
      </c>
      <c r="C128" s="4" t="s">
        <v>281</v>
      </c>
      <c r="D128" s="4" t="s">
        <v>8</v>
      </c>
      <c r="E128" s="4" t="s">
        <v>352</v>
      </c>
      <c r="F128" s="5">
        <v>0.8</v>
      </c>
      <c r="G128" s="10">
        <v>1.0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U128" s="8">
        <f t="shared" si="1"/>
        <v>0.8</v>
      </c>
      <c r="V128" s="8">
        <f t="shared" si="2"/>
        <v>75</v>
      </c>
      <c r="W128" s="8" t="str">
        <f t="shared" si="3"/>
        <v/>
      </c>
      <c r="X128" s="8" t="str">
        <f t="shared" si="4"/>
        <v>#N/A</v>
      </c>
    </row>
    <row r="129">
      <c r="A129" s="4">
        <f t="shared" si="5"/>
        <v>128</v>
      </c>
      <c r="B129" s="4" t="s">
        <v>294</v>
      </c>
      <c r="C129" s="4" t="s">
        <v>280</v>
      </c>
      <c r="D129" s="4" t="s">
        <v>8</v>
      </c>
      <c r="E129" s="4" t="s">
        <v>423</v>
      </c>
      <c r="F129" s="5">
        <v>0.6</v>
      </c>
      <c r="G129" s="10">
        <v>1.0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U129" s="8">
        <f t="shared" si="1"/>
        <v>0.6</v>
      </c>
      <c r="V129" s="8">
        <f t="shared" si="2"/>
        <v>89</v>
      </c>
      <c r="W129" s="8" t="str">
        <f t="shared" si="3"/>
        <v/>
      </c>
      <c r="X129" s="8" t="str">
        <f t="shared" si="4"/>
        <v>#N/A</v>
      </c>
    </row>
    <row r="130">
      <c r="A130" s="4">
        <f t="shared" si="5"/>
        <v>129</v>
      </c>
      <c r="B130" s="4" t="s">
        <v>286</v>
      </c>
      <c r="C130" s="4" t="s">
        <v>286</v>
      </c>
      <c r="D130" s="4" t="s">
        <v>8</v>
      </c>
      <c r="E130" s="4" t="s">
        <v>494</v>
      </c>
      <c r="F130" s="5">
        <v>0.5</v>
      </c>
      <c r="G130" s="10">
        <v>2.0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U130" s="8">
        <f t="shared" si="1"/>
        <v>0.5</v>
      </c>
      <c r="V130" s="8">
        <f t="shared" si="2"/>
        <v>101</v>
      </c>
      <c r="W130" s="8" t="str">
        <f t="shared" si="3"/>
        <v/>
      </c>
      <c r="X130" s="8" t="str">
        <f t="shared" si="4"/>
        <v>#N/A</v>
      </c>
    </row>
    <row r="131">
      <c r="A131" s="4">
        <f t="shared" si="5"/>
        <v>130</v>
      </c>
      <c r="B131" s="4" t="s">
        <v>293</v>
      </c>
      <c r="C131" s="4" t="s">
        <v>280</v>
      </c>
      <c r="D131" s="4" t="s">
        <v>8</v>
      </c>
      <c r="E131" s="4" t="s">
        <v>495</v>
      </c>
      <c r="F131" s="5">
        <v>0.6</v>
      </c>
      <c r="G131" s="10">
        <v>1.0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U131" s="8">
        <f t="shared" si="1"/>
        <v>0.6</v>
      </c>
      <c r="V131" s="8">
        <f t="shared" si="2"/>
        <v>89</v>
      </c>
      <c r="W131" s="8" t="str">
        <f t="shared" si="3"/>
        <v/>
      </c>
      <c r="X131" s="8" t="str">
        <f t="shared" si="4"/>
        <v>#N/A</v>
      </c>
    </row>
    <row r="132">
      <c r="A132" s="4">
        <f t="shared" si="5"/>
        <v>131</v>
      </c>
      <c r="B132" s="4" t="s">
        <v>274</v>
      </c>
      <c r="C132" s="4" t="s">
        <v>274</v>
      </c>
      <c r="D132" s="4" t="s">
        <v>8</v>
      </c>
      <c r="E132" s="4" t="s">
        <v>496</v>
      </c>
      <c r="F132" s="5">
        <v>0.5</v>
      </c>
      <c r="G132" s="10">
        <v>2.0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U132" s="8">
        <f t="shared" si="1"/>
        <v>0.5</v>
      </c>
      <c r="V132" s="8">
        <f t="shared" si="2"/>
        <v>101</v>
      </c>
      <c r="W132" s="8" t="str">
        <f t="shared" si="3"/>
        <v/>
      </c>
      <c r="X132" s="8" t="str">
        <f t="shared" si="4"/>
        <v>#N/A</v>
      </c>
    </row>
    <row r="133">
      <c r="A133" s="4">
        <f t="shared" si="5"/>
        <v>132</v>
      </c>
      <c r="B133" s="4" t="s">
        <v>273</v>
      </c>
      <c r="C133" s="4" t="s">
        <v>294</v>
      </c>
      <c r="D133" s="4" t="s">
        <v>8</v>
      </c>
      <c r="E133" s="4" t="s">
        <v>257</v>
      </c>
      <c r="F133" s="5">
        <v>0.6</v>
      </c>
      <c r="G133" s="10">
        <v>1.0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U133" s="8">
        <f t="shared" si="1"/>
        <v>0.6</v>
      </c>
      <c r="V133" s="8">
        <f t="shared" si="2"/>
        <v>89</v>
      </c>
      <c r="W133" s="8" t="str">
        <f t="shared" si="3"/>
        <v/>
      </c>
      <c r="X133" s="8" t="str">
        <f t="shared" si="4"/>
        <v>#N/A</v>
      </c>
    </row>
    <row r="134">
      <c r="A134" s="4">
        <f t="shared" si="5"/>
        <v>133</v>
      </c>
      <c r="B134" s="4" t="s">
        <v>285</v>
      </c>
      <c r="C134" s="4" t="s">
        <v>285</v>
      </c>
      <c r="D134" s="4" t="s">
        <v>8</v>
      </c>
      <c r="E134" s="4" t="s">
        <v>497</v>
      </c>
      <c r="F134" s="5">
        <v>0.9</v>
      </c>
      <c r="G134" s="10">
        <v>3.0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U134" s="8">
        <f t="shared" si="1"/>
        <v>0.9</v>
      </c>
      <c r="V134" s="8">
        <f t="shared" si="2"/>
        <v>69</v>
      </c>
      <c r="W134" s="8" t="str">
        <f t="shared" si="3"/>
        <v/>
      </c>
      <c r="X134" s="8" t="str">
        <f t="shared" si="4"/>
        <v>#N/A</v>
      </c>
    </row>
    <row r="135">
      <c r="A135" s="4">
        <f t="shared" si="5"/>
        <v>134</v>
      </c>
      <c r="B135" s="4" t="s">
        <v>280</v>
      </c>
      <c r="C135" s="4" t="s">
        <v>280</v>
      </c>
      <c r="D135" s="4" t="s">
        <v>8</v>
      </c>
      <c r="E135" s="4" t="s">
        <v>498</v>
      </c>
      <c r="F135" s="5">
        <v>0.5</v>
      </c>
      <c r="G135" s="10">
        <v>1.0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U135" s="8">
        <f t="shared" si="1"/>
        <v>0.5</v>
      </c>
      <c r="V135" s="8">
        <f t="shared" si="2"/>
        <v>101</v>
      </c>
      <c r="W135" s="8" t="str">
        <f t="shared" si="3"/>
        <v/>
      </c>
      <c r="X135" s="8" t="str">
        <f t="shared" si="4"/>
        <v>#N/A</v>
      </c>
    </row>
    <row r="136">
      <c r="A136" s="4">
        <f t="shared" si="5"/>
        <v>135</v>
      </c>
      <c r="B136" s="4" t="s">
        <v>288</v>
      </c>
      <c r="C136" s="4" t="s">
        <v>274</v>
      </c>
      <c r="D136" s="4" t="s">
        <v>8</v>
      </c>
      <c r="E136" s="4" t="s">
        <v>338</v>
      </c>
      <c r="F136" s="5">
        <v>0.6</v>
      </c>
      <c r="G136" s="10">
        <v>1.0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U136" s="8">
        <f t="shared" si="1"/>
        <v>0.6</v>
      </c>
      <c r="V136" s="8">
        <f t="shared" si="2"/>
        <v>89</v>
      </c>
      <c r="W136" s="8" t="str">
        <f t="shared" si="3"/>
        <v/>
      </c>
      <c r="X136" s="8" t="str">
        <f t="shared" si="4"/>
        <v>#N/A</v>
      </c>
    </row>
    <row r="137">
      <c r="A137" s="4">
        <f t="shared" si="5"/>
        <v>136</v>
      </c>
      <c r="B137" s="4" t="s">
        <v>287</v>
      </c>
      <c r="C137" s="4" t="s">
        <v>287</v>
      </c>
      <c r="D137" s="4" t="s">
        <v>8</v>
      </c>
      <c r="E137" s="4" t="s">
        <v>499</v>
      </c>
      <c r="F137" s="5">
        <v>0.5</v>
      </c>
      <c r="G137" s="10">
        <v>1.0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U137" s="8">
        <f t="shared" si="1"/>
        <v>0.5</v>
      </c>
      <c r="V137" s="8">
        <f t="shared" si="2"/>
        <v>101</v>
      </c>
      <c r="W137" s="8" t="str">
        <f t="shared" si="3"/>
        <v/>
      </c>
      <c r="X137" s="8" t="str">
        <f t="shared" si="4"/>
        <v>#N/A</v>
      </c>
    </row>
    <row r="138">
      <c r="A138" s="4">
        <f t="shared" si="5"/>
        <v>137</v>
      </c>
      <c r="B138" s="4" t="s">
        <v>281</v>
      </c>
      <c r="C138" s="4" t="s">
        <v>273</v>
      </c>
      <c r="D138" s="4" t="s">
        <v>8</v>
      </c>
      <c r="E138" s="4" t="s">
        <v>109</v>
      </c>
      <c r="F138" s="5">
        <v>0.6</v>
      </c>
      <c r="G138" s="10">
        <v>1.0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U138" s="8">
        <f t="shared" si="1"/>
        <v>0.6</v>
      </c>
      <c r="V138" s="8">
        <f t="shared" si="2"/>
        <v>89</v>
      </c>
      <c r="W138" s="8" t="str">
        <f t="shared" si="3"/>
        <v/>
      </c>
      <c r="X138" s="8" t="str">
        <f t="shared" si="4"/>
        <v>#N/A</v>
      </c>
    </row>
    <row r="139">
      <c r="A139" s="4">
        <f t="shared" si="5"/>
        <v>138</v>
      </c>
      <c r="B139" s="4" t="s">
        <v>294</v>
      </c>
      <c r="C139" s="4" t="s">
        <v>294</v>
      </c>
      <c r="D139" s="4" t="s">
        <v>8</v>
      </c>
      <c r="E139" s="4" t="s">
        <v>421</v>
      </c>
      <c r="F139" s="5">
        <v>0.5</v>
      </c>
      <c r="G139" s="10">
        <v>1.0</v>
      </c>
      <c r="H139" s="7"/>
      <c r="I139" s="7"/>
      <c r="J139" s="7"/>
      <c r="K139" s="7"/>
      <c r="L139" s="7"/>
      <c r="M139" s="7"/>
      <c r="N139" s="7"/>
      <c r="O139" s="7"/>
      <c r="P139" s="7"/>
      <c r="Q139" s="7"/>
      <c r="U139" s="8">
        <f t="shared" si="1"/>
        <v>0.5</v>
      </c>
      <c r="V139" s="8">
        <f t="shared" si="2"/>
        <v>101</v>
      </c>
      <c r="W139" s="8" t="str">
        <f t="shared" si="3"/>
        <v/>
      </c>
      <c r="X139" s="8" t="str">
        <f t="shared" si="4"/>
        <v>#N/A</v>
      </c>
    </row>
    <row r="140">
      <c r="A140" s="4">
        <f t="shared" si="5"/>
        <v>139</v>
      </c>
      <c r="B140" s="4" t="s">
        <v>286</v>
      </c>
      <c r="C140" s="4" t="s">
        <v>294</v>
      </c>
      <c r="D140" s="4" t="s">
        <v>8</v>
      </c>
      <c r="E140" s="4" t="s">
        <v>107</v>
      </c>
      <c r="F140" s="5">
        <v>0.6</v>
      </c>
      <c r="G140" s="10">
        <v>1.0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U140" s="8">
        <f t="shared" si="1"/>
        <v>0.6</v>
      </c>
      <c r="V140" s="8">
        <f t="shared" si="2"/>
        <v>89</v>
      </c>
      <c r="W140" s="8" t="str">
        <f t="shared" si="3"/>
        <v/>
      </c>
      <c r="X140" s="8" t="str">
        <f t="shared" si="4"/>
        <v>#N/A</v>
      </c>
    </row>
    <row r="141">
      <c r="A141" s="4">
        <f t="shared" si="5"/>
        <v>140</v>
      </c>
      <c r="B141" s="4" t="s">
        <v>293</v>
      </c>
      <c r="C141" s="4" t="s">
        <v>293</v>
      </c>
      <c r="D141" s="4" t="s">
        <v>8</v>
      </c>
      <c r="E141" s="4" t="s">
        <v>500</v>
      </c>
      <c r="F141" s="5">
        <v>0.5</v>
      </c>
      <c r="G141" s="10">
        <v>4.0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  <c r="U141" s="8">
        <f t="shared" si="1"/>
        <v>0.5</v>
      </c>
      <c r="V141" s="8">
        <f t="shared" si="2"/>
        <v>101</v>
      </c>
      <c r="W141" s="8" t="str">
        <f t="shared" si="3"/>
        <v/>
      </c>
      <c r="X141" s="8" t="str">
        <f t="shared" si="4"/>
        <v>#N/A</v>
      </c>
    </row>
    <row r="142">
      <c r="A142" s="4">
        <f t="shared" si="5"/>
        <v>141</v>
      </c>
      <c r="B142" s="4" t="s">
        <v>273</v>
      </c>
      <c r="C142" s="4" t="s">
        <v>273</v>
      </c>
      <c r="D142" s="4" t="s">
        <v>8</v>
      </c>
      <c r="E142" s="4" t="s">
        <v>501</v>
      </c>
      <c r="F142" s="5">
        <v>0.5</v>
      </c>
      <c r="G142" s="10">
        <v>3.0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U142" s="8">
        <f t="shared" si="1"/>
        <v>0.5</v>
      </c>
      <c r="V142" s="8">
        <f t="shared" si="2"/>
        <v>101</v>
      </c>
      <c r="W142" s="8" t="str">
        <f t="shared" si="3"/>
        <v/>
      </c>
      <c r="X142" s="8" t="str">
        <f t="shared" si="4"/>
        <v>#N/A</v>
      </c>
    </row>
    <row r="143">
      <c r="A143" s="4">
        <f t="shared" si="5"/>
        <v>142</v>
      </c>
      <c r="B143" s="4" t="s">
        <v>285</v>
      </c>
      <c r="C143" s="4" t="s">
        <v>273</v>
      </c>
      <c r="D143" s="4" t="s">
        <v>8</v>
      </c>
      <c r="E143" s="4" t="s">
        <v>502</v>
      </c>
      <c r="F143" s="5">
        <v>0.9</v>
      </c>
      <c r="G143" s="10">
        <v>2.0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U143" s="8">
        <f t="shared" si="1"/>
        <v>0.9</v>
      </c>
      <c r="V143" s="8">
        <f t="shared" si="2"/>
        <v>69</v>
      </c>
      <c r="W143" s="8" t="str">
        <f t="shared" si="3"/>
        <v/>
      </c>
      <c r="X143" s="8" t="str">
        <f t="shared" si="4"/>
        <v>#N/A</v>
      </c>
    </row>
    <row r="144">
      <c r="A144" s="4">
        <f t="shared" si="5"/>
        <v>143</v>
      </c>
      <c r="B144" s="4" t="s">
        <v>280</v>
      </c>
      <c r="C144" s="4" t="s">
        <v>280</v>
      </c>
      <c r="D144" s="4" t="s">
        <v>8</v>
      </c>
      <c r="E144" s="4" t="s">
        <v>298</v>
      </c>
      <c r="F144" s="5">
        <v>0.5</v>
      </c>
      <c r="G144" s="10">
        <v>1.0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U144" s="8">
        <f t="shared" si="1"/>
        <v>0.5</v>
      </c>
      <c r="V144" s="8">
        <f t="shared" si="2"/>
        <v>101</v>
      </c>
      <c r="W144" s="8" t="str">
        <f t="shared" si="3"/>
        <v/>
      </c>
      <c r="X144" s="8" t="str">
        <f t="shared" si="4"/>
        <v>#N/A</v>
      </c>
    </row>
    <row r="145">
      <c r="A145" s="4">
        <f t="shared" si="5"/>
        <v>144</v>
      </c>
      <c r="B145" s="4" t="s">
        <v>288</v>
      </c>
      <c r="C145" s="4" t="s">
        <v>288</v>
      </c>
      <c r="D145" s="4" t="s">
        <v>8</v>
      </c>
      <c r="E145" s="4" t="s">
        <v>503</v>
      </c>
      <c r="F145" s="5">
        <v>0.5</v>
      </c>
      <c r="G145" s="10">
        <v>1.0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U145" s="8">
        <f t="shared" si="1"/>
        <v>0.5</v>
      </c>
      <c r="V145" s="8">
        <f t="shared" si="2"/>
        <v>101</v>
      </c>
      <c r="W145" s="8" t="str">
        <f t="shared" si="3"/>
        <v/>
      </c>
      <c r="X145" s="8" t="str">
        <f t="shared" si="4"/>
        <v>#N/A</v>
      </c>
    </row>
    <row r="146">
      <c r="A146" s="4">
        <f t="shared" si="5"/>
        <v>145</v>
      </c>
      <c r="B146" s="4" t="s">
        <v>287</v>
      </c>
      <c r="C146" s="4" t="s">
        <v>287</v>
      </c>
      <c r="D146" s="4" t="s">
        <v>8</v>
      </c>
      <c r="E146" s="4" t="s">
        <v>62</v>
      </c>
      <c r="F146" s="5">
        <v>0.7</v>
      </c>
      <c r="G146" s="10">
        <v>1.0</v>
      </c>
      <c r="H146" s="7"/>
      <c r="I146" s="7"/>
      <c r="J146" s="7"/>
      <c r="K146" s="7"/>
      <c r="L146" s="7"/>
      <c r="M146" s="7"/>
      <c r="N146" s="7"/>
      <c r="O146" s="7"/>
      <c r="P146" s="7"/>
      <c r="Q146" s="7"/>
      <c r="U146" s="8">
        <f t="shared" si="1"/>
        <v>0.7</v>
      </c>
      <c r="V146" s="8">
        <f t="shared" si="2"/>
        <v>84</v>
      </c>
      <c r="W146" s="8" t="str">
        <f t="shared" si="3"/>
        <v/>
      </c>
      <c r="X146" s="8" t="str">
        <f t="shared" si="4"/>
        <v>#N/A</v>
      </c>
    </row>
    <row r="147">
      <c r="A147" s="4">
        <f t="shared" si="5"/>
        <v>146</v>
      </c>
      <c r="B147" s="4" t="s">
        <v>281</v>
      </c>
      <c r="C147" s="4" t="s">
        <v>281</v>
      </c>
      <c r="D147" s="4" t="s">
        <v>8</v>
      </c>
      <c r="E147" s="4" t="s">
        <v>504</v>
      </c>
      <c r="F147" s="5">
        <v>0.5</v>
      </c>
      <c r="G147" s="10">
        <v>1.0</v>
      </c>
      <c r="H147" s="7"/>
      <c r="I147" s="7"/>
      <c r="J147" s="7"/>
      <c r="K147" s="7"/>
      <c r="L147" s="7"/>
      <c r="M147" s="7"/>
      <c r="N147" s="7"/>
      <c r="O147" s="7"/>
      <c r="P147" s="7"/>
      <c r="Q147" s="7"/>
      <c r="U147" s="8">
        <f t="shared" si="1"/>
        <v>0.5</v>
      </c>
      <c r="V147" s="8">
        <f t="shared" si="2"/>
        <v>101</v>
      </c>
      <c r="W147" s="8" t="str">
        <f t="shared" si="3"/>
        <v/>
      </c>
      <c r="X147" s="8" t="str">
        <f t="shared" si="4"/>
        <v>#N/A</v>
      </c>
    </row>
    <row r="148">
      <c r="A148" s="4">
        <f t="shared" si="5"/>
        <v>147</v>
      </c>
      <c r="B148" s="4" t="s">
        <v>294</v>
      </c>
      <c r="C148" s="4" t="s">
        <v>294</v>
      </c>
      <c r="D148" s="4" t="s">
        <v>8</v>
      </c>
      <c r="E148" s="4" t="s">
        <v>186</v>
      </c>
      <c r="F148" s="5">
        <v>0.5</v>
      </c>
      <c r="G148" s="10">
        <v>1.0</v>
      </c>
      <c r="H148" s="7"/>
      <c r="I148" s="7"/>
      <c r="J148" s="7"/>
      <c r="K148" s="7"/>
      <c r="L148" s="7"/>
      <c r="M148" s="7"/>
      <c r="N148" s="7"/>
      <c r="O148" s="7"/>
      <c r="P148" s="7"/>
      <c r="Q148" s="7"/>
      <c r="U148" s="8">
        <f t="shared" si="1"/>
        <v>0.5</v>
      </c>
      <c r="V148" s="8">
        <f t="shared" si="2"/>
        <v>101</v>
      </c>
      <c r="W148" s="8" t="str">
        <f t="shared" si="3"/>
        <v/>
      </c>
      <c r="X148" s="8" t="str">
        <f t="shared" si="4"/>
        <v>#N/A</v>
      </c>
    </row>
    <row r="149">
      <c r="A149" s="4">
        <f t="shared" si="5"/>
        <v>148</v>
      </c>
      <c r="B149" s="4" t="s">
        <v>286</v>
      </c>
      <c r="C149" s="4" t="s">
        <v>281</v>
      </c>
      <c r="D149" s="4" t="s">
        <v>8</v>
      </c>
      <c r="E149" s="4" t="s">
        <v>505</v>
      </c>
      <c r="F149" s="5">
        <v>0.6</v>
      </c>
      <c r="G149" s="10">
        <v>1.0</v>
      </c>
      <c r="H149" s="7"/>
      <c r="I149" s="7"/>
      <c r="J149" s="7"/>
      <c r="K149" s="7"/>
      <c r="L149" s="7"/>
      <c r="M149" s="7"/>
      <c r="N149" s="7"/>
      <c r="O149" s="7"/>
      <c r="P149" s="7"/>
      <c r="Q149" s="7"/>
      <c r="U149" s="8">
        <f t="shared" si="1"/>
        <v>0.6</v>
      </c>
      <c r="V149" s="8">
        <f t="shared" si="2"/>
        <v>89</v>
      </c>
      <c r="W149" s="8" t="str">
        <f t="shared" si="3"/>
        <v/>
      </c>
      <c r="X149" s="8" t="str">
        <f t="shared" si="4"/>
        <v>#N/A</v>
      </c>
    </row>
    <row r="150">
      <c r="A150" s="4">
        <f t="shared" si="5"/>
        <v>149</v>
      </c>
      <c r="B150" s="4" t="s">
        <v>273</v>
      </c>
      <c r="C150" s="4" t="s">
        <v>273</v>
      </c>
      <c r="D150" s="4" t="s">
        <v>8</v>
      </c>
      <c r="E150" s="4" t="s">
        <v>230</v>
      </c>
      <c r="F150" s="5">
        <v>0.5</v>
      </c>
      <c r="G150" s="10">
        <v>2.0</v>
      </c>
      <c r="H150" s="7"/>
      <c r="I150" s="7"/>
      <c r="J150" s="7"/>
      <c r="K150" s="7"/>
      <c r="L150" s="7"/>
      <c r="M150" s="7"/>
      <c r="N150" s="7"/>
      <c r="O150" s="7"/>
      <c r="P150" s="7"/>
      <c r="Q150" s="7"/>
      <c r="U150" s="8">
        <f t="shared" si="1"/>
        <v>0.5</v>
      </c>
      <c r="V150" s="8">
        <f t="shared" si="2"/>
        <v>101</v>
      </c>
      <c r="W150" s="8" t="str">
        <f t="shared" si="3"/>
        <v/>
      </c>
      <c r="X150" s="8" t="str">
        <f t="shared" si="4"/>
        <v>#N/A</v>
      </c>
    </row>
    <row r="151">
      <c r="A151" s="4">
        <f t="shared" si="5"/>
        <v>150</v>
      </c>
      <c r="B151" s="4" t="s">
        <v>280</v>
      </c>
      <c r="C151" s="4" t="s">
        <v>281</v>
      </c>
      <c r="D151" s="4" t="s">
        <v>8</v>
      </c>
      <c r="E151" s="6" t="s">
        <v>460</v>
      </c>
      <c r="F151" s="5">
        <v>0.7</v>
      </c>
      <c r="G151" s="10">
        <v>1.0</v>
      </c>
      <c r="H151" s="7"/>
      <c r="I151" s="7"/>
      <c r="J151" s="7"/>
      <c r="K151" s="7"/>
      <c r="L151" s="7"/>
      <c r="M151" s="7"/>
      <c r="N151" s="7"/>
      <c r="O151" s="7"/>
      <c r="P151" s="7"/>
      <c r="Q151" s="7"/>
      <c r="U151" s="8">
        <f t="shared" si="1"/>
        <v>0.7</v>
      </c>
      <c r="V151" s="8">
        <f t="shared" si="2"/>
        <v>84</v>
      </c>
      <c r="W151" s="8" t="str">
        <f t="shared" si="3"/>
        <v/>
      </c>
      <c r="X151" s="8" t="str">
        <f t="shared" si="4"/>
        <v>#N/A</v>
      </c>
    </row>
    <row r="152">
      <c r="A152" s="4">
        <f t="shared" si="5"/>
        <v>151</v>
      </c>
      <c r="B152" s="4" t="s">
        <v>281</v>
      </c>
      <c r="C152" s="4" t="s">
        <v>286</v>
      </c>
      <c r="D152" s="4" t="s">
        <v>8</v>
      </c>
      <c r="E152" s="6" t="s">
        <v>506</v>
      </c>
      <c r="F152" s="5">
        <v>0.6</v>
      </c>
      <c r="G152" s="10">
        <v>1.0</v>
      </c>
      <c r="H152" s="7"/>
      <c r="I152" s="7"/>
      <c r="J152" s="7"/>
      <c r="K152" s="7"/>
      <c r="L152" s="7"/>
      <c r="M152" s="7"/>
      <c r="N152" s="7"/>
      <c r="O152" s="7"/>
      <c r="P152" s="7"/>
      <c r="Q152" s="7"/>
      <c r="U152" s="8">
        <f t="shared" si="1"/>
        <v>0.6</v>
      </c>
      <c r="V152" s="8">
        <f t="shared" si="2"/>
        <v>89</v>
      </c>
      <c r="W152" s="8" t="str">
        <f t="shared" si="3"/>
        <v/>
      </c>
      <c r="X152" s="8" t="str">
        <f t="shared" si="4"/>
        <v>#N/A</v>
      </c>
    </row>
    <row r="153">
      <c r="A153" s="4">
        <f t="shared" si="5"/>
        <v>152</v>
      </c>
      <c r="B153" s="4" t="s">
        <v>294</v>
      </c>
      <c r="C153" s="4" t="s">
        <v>294</v>
      </c>
      <c r="D153" s="4" t="s">
        <v>8</v>
      </c>
      <c r="E153" s="6" t="s">
        <v>507</v>
      </c>
      <c r="F153" s="5">
        <v>0.5</v>
      </c>
      <c r="G153" s="10">
        <v>5.0</v>
      </c>
      <c r="H153" s="7"/>
      <c r="I153" s="7"/>
      <c r="J153" s="7"/>
      <c r="K153" s="7"/>
      <c r="L153" s="7"/>
      <c r="M153" s="7"/>
      <c r="N153" s="7"/>
      <c r="O153" s="7"/>
      <c r="P153" s="7"/>
      <c r="Q153" s="7"/>
      <c r="U153" s="8">
        <f t="shared" si="1"/>
        <v>0.5</v>
      </c>
      <c r="V153" s="8">
        <f t="shared" si="2"/>
        <v>101</v>
      </c>
      <c r="W153" s="8" t="str">
        <f t="shared" si="3"/>
        <v/>
      </c>
      <c r="X153" s="8" t="str">
        <f t="shared" si="4"/>
        <v>#N/A</v>
      </c>
    </row>
    <row r="154">
      <c r="A154" s="4">
        <f t="shared" si="5"/>
        <v>153</v>
      </c>
      <c r="B154" s="4" t="s">
        <v>280</v>
      </c>
      <c r="C154" s="4" t="s">
        <v>280</v>
      </c>
      <c r="D154" s="4" t="s">
        <v>8</v>
      </c>
      <c r="E154" s="6" t="s">
        <v>384</v>
      </c>
      <c r="F154" s="5">
        <v>0.5</v>
      </c>
      <c r="G154" s="10">
        <v>1.0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U154" s="8">
        <f t="shared" si="1"/>
        <v>0.5</v>
      </c>
      <c r="V154" s="8">
        <f t="shared" si="2"/>
        <v>101</v>
      </c>
      <c r="W154" s="8" t="str">
        <f t="shared" si="3"/>
        <v/>
      </c>
      <c r="X154" s="8" t="str">
        <f t="shared" si="4"/>
        <v>#N/A</v>
      </c>
    </row>
    <row r="155">
      <c r="A155" s="4">
        <f t="shared" si="5"/>
        <v>154</v>
      </c>
      <c r="B155" s="4" t="s">
        <v>281</v>
      </c>
      <c r="C155" s="4" t="s">
        <v>281</v>
      </c>
      <c r="D155" s="4" t="s">
        <v>8</v>
      </c>
      <c r="E155" s="6" t="s">
        <v>508</v>
      </c>
      <c r="F155" s="5">
        <v>0.5</v>
      </c>
      <c r="G155" s="10">
        <v>1.0</v>
      </c>
      <c r="H155" s="7"/>
      <c r="I155" s="7"/>
      <c r="J155" s="7"/>
      <c r="K155" s="7"/>
      <c r="L155" s="7"/>
      <c r="M155" s="7"/>
      <c r="N155" s="7"/>
      <c r="O155" s="7"/>
      <c r="P155" s="7"/>
      <c r="Q155" s="7"/>
      <c r="U155" s="8">
        <f t="shared" si="1"/>
        <v>0.5</v>
      </c>
      <c r="V155" s="8">
        <f t="shared" si="2"/>
        <v>101</v>
      </c>
      <c r="W155" s="8" t="str">
        <f t="shared" si="3"/>
        <v/>
      </c>
      <c r="X155" s="8" t="str">
        <f t="shared" si="4"/>
        <v>#N/A</v>
      </c>
    </row>
    <row r="156">
      <c r="A156" s="4">
        <f t="shared" si="5"/>
        <v>155</v>
      </c>
      <c r="B156" s="4" t="s">
        <v>281</v>
      </c>
      <c r="C156" s="4" t="s">
        <v>281</v>
      </c>
      <c r="D156" s="4" t="s">
        <v>8</v>
      </c>
      <c r="E156" s="4" t="s">
        <v>509</v>
      </c>
      <c r="F156" s="5">
        <v>0.5</v>
      </c>
      <c r="G156" s="10">
        <v>2.0</v>
      </c>
      <c r="H156" s="7"/>
      <c r="I156" s="7"/>
      <c r="J156" s="7"/>
      <c r="K156" s="7"/>
      <c r="L156" s="7"/>
      <c r="M156" s="7"/>
      <c r="N156" s="7"/>
      <c r="O156" s="7"/>
      <c r="P156" s="7"/>
      <c r="Q156" s="7"/>
      <c r="U156" s="8">
        <f t="shared" si="1"/>
        <v>0.5</v>
      </c>
      <c r="V156" s="8">
        <f t="shared" si="2"/>
        <v>101</v>
      </c>
      <c r="W156" s="8" t="str">
        <f t="shared" si="3"/>
        <v/>
      </c>
      <c r="X156" s="8" t="str">
        <f t="shared" si="4"/>
        <v>#N/A</v>
      </c>
    </row>
    <row r="157">
      <c r="A157" s="4"/>
      <c r="B157" s="4"/>
      <c r="C157" s="4"/>
      <c r="D157" s="4"/>
      <c r="E157" s="4"/>
      <c r="F157" s="5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U157" s="8" t="str">
        <f t="shared" si="1"/>
        <v/>
      </c>
      <c r="W157" s="8" t="str">
        <f t="shared" si="3"/>
        <v/>
      </c>
    </row>
    <row r="158">
      <c r="A158" s="4"/>
      <c r="B158" s="4"/>
      <c r="C158" s="4"/>
      <c r="D158" s="4"/>
      <c r="E158" s="4"/>
      <c r="F158" s="5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U158" s="8" t="str">
        <f t="shared" si="1"/>
        <v/>
      </c>
      <c r="W158" s="8" t="str">
        <f t="shared" si="3"/>
        <v/>
      </c>
    </row>
    <row r="159">
      <c r="A159" s="4"/>
      <c r="B159" s="4"/>
      <c r="C159" s="4"/>
      <c r="D159" s="4"/>
      <c r="E159" s="4"/>
      <c r="F159" s="5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U159" s="8" t="str">
        <f t="shared" si="1"/>
        <v/>
      </c>
      <c r="W159" s="8" t="str">
        <f t="shared" si="3"/>
        <v/>
      </c>
    </row>
    <row r="160">
      <c r="A160" s="4"/>
      <c r="B160" s="4"/>
      <c r="C160" s="4"/>
      <c r="D160" s="4"/>
      <c r="E160" s="4"/>
      <c r="F160" s="5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U160" s="8" t="str">
        <f t="shared" si="1"/>
        <v/>
      </c>
      <c r="W160" s="8" t="str">
        <f t="shared" si="3"/>
        <v/>
      </c>
    </row>
    <row r="161">
      <c r="A161" s="4"/>
      <c r="B161" s="4"/>
      <c r="C161" s="4"/>
      <c r="D161" s="4"/>
      <c r="E161" s="4"/>
      <c r="F161" s="5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U161" s="8" t="str">
        <f t="shared" si="1"/>
        <v/>
      </c>
      <c r="W161" s="8" t="str">
        <f t="shared" si="3"/>
        <v/>
      </c>
    </row>
    <row r="162">
      <c r="A162" s="4"/>
      <c r="B162" s="4"/>
      <c r="C162" s="4"/>
      <c r="D162" s="4"/>
      <c r="E162" s="4"/>
      <c r="F162" s="5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U162" s="8" t="str">
        <f t="shared" si="1"/>
        <v/>
      </c>
      <c r="W162" s="8" t="str">
        <f t="shared" si="3"/>
        <v/>
      </c>
    </row>
    <row r="163">
      <c r="A163" s="4"/>
      <c r="B163" s="4"/>
      <c r="C163" s="4"/>
      <c r="D163" s="4"/>
      <c r="E163" s="4"/>
      <c r="F163" s="5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U163" s="8" t="str">
        <f t="shared" si="1"/>
        <v/>
      </c>
      <c r="W163" s="8" t="str">
        <f t="shared" si="3"/>
        <v/>
      </c>
    </row>
    <row r="164">
      <c r="A164" s="4"/>
      <c r="B164" s="4"/>
      <c r="C164" s="4"/>
      <c r="D164" s="4"/>
      <c r="E164" s="4"/>
      <c r="F164" s="5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U164" s="8" t="str">
        <f t="shared" si="1"/>
        <v/>
      </c>
      <c r="W164" s="8" t="str">
        <f t="shared" si="3"/>
        <v/>
      </c>
    </row>
    <row r="165">
      <c r="A165" s="4"/>
      <c r="B165" s="4"/>
      <c r="C165" s="4"/>
      <c r="D165" s="4"/>
      <c r="E165" s="4"/>
      <c r="F165" s="5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U165" s="8" t="str">
        <f t="shared" si="1"/>
        <v/>
      </c>
      <c r="W165" s="8" t="str">
        <f t="shared" si="3"/>
        <v/>
      </c>
    </row>
    <row r="166">
      <c r="A166" s="4"/>
      <c r="U166" s="8" t="str">
        <f t="shared" si="1"/>
        <v/>
      </c>
      <c r="W166" s="8" t="str">
        <f t="shared" si="3"/>
        <v/>
      </c>
    </row>
    <row r="167">
      <c r="A167" s="4"/>
      <c r="U167" s="8" t="str">
        <f t="shared" si="1"/>
        <v/>
      </c>
      <c r="W167" s="8" t="str">
        <f t="shared" si="3"/>
        <v/>
      </c>
    </row>
    <row r="168">
      <c r="A168" s="4"/>
      <c r="U168" s="8" t="str">
        <f t="shared" si="1"/>
        <v/>
      </c>
      <c r="W168" s="8" t="str">
        <f t="shared" si="3"/>
        <v/>
      </c>
    </row>
    <row r="169">
      <c r="A169" s="4"/>
      <c r="U169" s="8" t="str">
        <f t="shared" si="1"/>
        <v/>
      </c>
      <c r="W169" s="8" t="str">
        <f t="shared" si="3"/>
        <v/>
      </c>
    </row>
    <row r="170">
      <c r="A170" s="4"/>
      <c r="U170" s="8" t="str">
        <f t="shared" si="1"/>
        <v/>
      </c>
      <c r="W170" s="8" t="str">
        <f t="shared" si="3"/>
        <v/>
      </c>
    </row>
    <row r="171">
      <c r="A171" s="4"/>
      <c r="U171" s="8" t="str">
        <f t="shared" si="1"/>
        <v/>
      </c>
      <c r="W171" s="8" t="str">
        <f t="shared" si="3"/>
        <v/>
      </c>
    </row>
    <row r="172">
      <c r="A172" s="4"/>
      <c r="U172" s="8" t="str">
        <f t="shared" si="1"/>
        <v/>
      </c>
      <c r="W172" s="8" t="str">
        <f t="shared" si="3"/>
        <v/>
      </c>
    </row>
    <row r="173">
      <c r="A173" s="4"/>
      <c r="U173" s="8" t="str">
        <f t="shared" si="1"/>
        <v/>
      </c>
      <c r="W173" s="8" t="str">
        <f t="shared" si="3"/>
        <v/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U1" s="3" t="s">
        <v>8</v>
      </c>
      <c r="V1" s="3" t="s">
        <v>9</v>
      </c>
      <c r="W1" s="3" t="s">
        <v>10</v>
      </c>
      <c r="X1" s="3" t="s">
        <v>11</v>
      </c>
    </row>
    <row r="2">
      <c r="A2" s="4">
        <v>1.0</v>
      </c>
      <c r="B2" s="4" t="s">
        <v>280</v>
      </c>
      <c r="C2" s="4" t="s">
        <v>288</v>
      </c>
      <c r="D2" s="4" t="s">
        <v>10</v>
      </c>
      <c r="E2" s="4" t="s">
        <v>510</v>
      </c>
      <c r="F2" s="5">
        <v>8.6</v>
      </c>
      <c r="G2" s="5">
        <v>2.0</v>
      </c>
      <c r="H2" s="6"/>
      <c r="I2" s="6"/>
      <c r="J2" s="6"/>
      <c r="K2" s="6"/>
      <c r="L2" s="7"/>
      <c r="M2" s="7"/>
      <c r="N2" s="7"/>
      <c r="O2" s="7"/>
      <c r="P2" s="7"/>
      <c r="Q2" s="7"/>
      <c r="U2" s="8" t="str">
        <f t="shared" ref="U2:U173" si="1">if($D2=U$1,$F2,"")</f>
        <v/>
      </c>
      <c r="V2" s="8" t="str">
        <f t="shared" ref="V2:V135" si="2">rank(U2,$U$2:$U$173)</f>
        <v>#N/A</v>
      </c>
      <c r="W2" s="8">
        <f t="shared" ref="W2:W173" si="3">if($D2=W$1,$F2,"")</f>
        <v>8.6</v>
      </c>
      <c r="X2" s="8">
        <f t="shared" ref="X2:X135" si="4">rank(W2,$W$2:$W$173)</f>
        <v>1</v>
      </c>
    </row>
    <row r="3">
      <c r="A3" s="4">
        <f t="shared" ref="A3:A135" si="5">A2+1</f>
        <v>2</v>
      </c>
      <c r="B3" s="4" t="s">
        <v>280</v>
      </c>
      <c r="C3" s="4" t="s">
        <v>280</v>
      </c>
      <c r="D3" s="4" t="s">
        <v>8</v>
      </c>
      <c r="E3" s="4" t="s">
        <v>340</v>
      </c>
      <c r="F3" s="5">
        <v>4.6</v>
      </c>
      <c r="G3" s="5">
        <v>1.0</v>
      </c>
      <c r="H3" s="7"/>
      <c r="I3" s="7"/>
      <c r="J3" s="7"/>
      <c r="K3" s="7"/>
      <c r="L3" s="7"/>
      <c r="M3" s="7"/>
      <c r="N3" s="7"/>
      <c r="O3" s="7"/>
      <c r="P3" s="7"/>
      <c r="Q3" s="7"/>
      <c r="U3" s="8">
        <f t="shared" si="1"/>
        <v>4.6</v>
      </c>
      <c r="V3" s="8">
        <f t="shared" si="2"/>
        <v>17</v>
      </c>
      <c r="W3" s="8" t="str">
        <f t="shared" si="3"/>
        <v/>
      </c>
      <c r="X3" s="8" t="str">
        <f t="shared" si="4"/>
        <v>#N/A</v>
      </c>
    </row>
    <row r="4">
      <c r="A4" s="4">
        <f t="shared" si="5"/>
        <v>3</v>
      </c>
      <c r="B4" s="4" t="s">
        <v>284</v>
      </c>
      <c r="C4" s="4" t="s">
        <v>280</v>
      </c>
      <c r="D4" s="4" t="s">
        <v>10</v>
      </c>
      <c r="E4" s="4" t="s">
        <v>289</v>
      </c>
      <c r="F4" s="5">
        <v>8.1</v>
      </c>
      <c r="G4" s="5">
        <v>4.0</v>
      </c>
      <c r="H4" s="4"/>
      <c r="I4" s="4"/>
      <c r="J4" s="4"/>
      <c r="K4" s="4"/>
      <c r="L4" s="4"/>
      <c r="M4" s="7"/>
      <c r="N4" s="7"/>
      <c r="O4" s="7"/>
      <c r="P4" s="7"/>
      <c r="Q4" s="7"/>
      <c r="U4" s="8" t="str">
        <f t="shared" si="1"/>
        <v/>
      </c>
      <c r="V4" s="8" t="str">
        <f t="shared" si="2"/>
        <v>#N/A</v>
      </c>
      <c r="W4" s="8">
        <f t="shared" si="3"/>
        <v>8.1</v>
      </c>
      <c r="X4" s="8">
        <f t="shared" si="4"/>
        <v>2</v>
      </c>
    </row>
    <row r="5">
      <c r="A5" s="4">
        <f t="shared" si="5"/>
        <v>4</v>
      </c>
      <c r="B5" s="4" t="s">
        <v>284</v>
      </c>
      <c r="C5" s="4" t="s">
        <v>287</v>
      </c>
      <c r="D5" s="4" t="s">
        <v>8</v>
      </c>
      <c r="E5" s="4" t="s">
        <v>106</v>
      </c>
      <c r="F5" s="5">
        <v>9.0</v>
      </c>
      <c r="G5" s="5">
        <v>1.0</v>
      </c>
      <c r="H5" s="7"/>
      <c r="I5" s="7"/>
      <c r="J5" s="7"/>
      <c r="K5" s="7"/>
      <c r="L5" s="7"/>
      <c r="M5" s="7"/>
      <c r="N5" s="7"/>
      <c r="O5" s="7"/>
      <c r="P5" s="7"/>
      <c r="Q5" s="7"/>
      <c r="U5" s="8">
        <f t="shared" si="1"/>
        <v>9</v>
      </c>
      <c r="V5" s="8">
        <f t="shared" si="2"/>
        <v>1</v>
      </c>
      <c r="W5" s="8" t="str">
        <f t="shared" si="3"/>
        <v/>
      </c>
      <c r="X5" s="8" t="str">
        <f t="shared" si="4"/>
        <v>#N/A</v>
      </c>
    </row>
    <row r="6">
      <c r="A6" s="4">
        <f t="shared" si="5"/>
        <v>5</v>
      </c>
      <c r="B6" s="4" t="s">
        <v>294</v>
      </c>
      <c r="C6" s="4" t="s">
        <v>284</v>
      </c>
      <c r="D6" s="4" t="s">
        <v>10</v>
      </c>
      <c r="E6" s="4" t="s">
        <v>297</v>
      </c>
      <c r="F6" s="5">
        <v>6.2</v>
      </c>
      <c r="G6" s="5">
        <v>4.0</v>
      </c>
      <c r="H6" s="7"/>
      <c r="I6" s="7"/>
      <c r="J6" s="7"/>
      <c r="K6" s="9"/>
      <c r="L6" s="7"/>
      <c r="M6" s="7"/>
      <c r="N6" s="7"/>
      <c r="O6" s="7"/>
      <c r="P6" s="7"/>
      <c r="Q6" s="7"/>
      <c r="U6" s="8" t="str">
        <f t="shared" si="1"/>
        <v/>
      </c>
      <c r="V6" s="8" t="str">
        <f t="shared" si="2"/>
        <v>#N/A</v>
      </c>
      <c r="W6" s="8">
        <f t="shared" si="3"/>
        <v>6.2</v>
      </c>
      <c r="X6" s="8">
        <f t="shared" si="4"/>
        <v>4</v>
      </c>
    </row>
    <row r="7">
      <c r="A7" s="4">
        <f t="shared" si="5"/>
        <v>6</v>
      </c>
      <c r="B7" s="4" t="s">
        <v>294</v>
      </c>
      <c r="C7" s="4" t="s">
        <v>285</v>
      </c>
      <c r="D7" s="4" t="s">
        <v>8</v>
      </c>
      <c r="E7" s="4" t="s">
        <v>96</v>
      </c>
      <c r="F7" s="5">
        <v>2.9</v>
      </c>
      <c r="G7" s="5">
        <v>1.0</v>
      </c>
      <c r="H7" s="7"/>
      <c r="I7" s="7"/>
      <c r="J7" s="7"/>
      <c r="K7" s="7"/>
      <c r="L7" s="7"/>
      <c r="M7" s="7"/>
      <c r="N7" s="7"/>
      <c r="O7" s="7"/>
      <c r="P7" s="7"/>
      <c r="Q7" s="7"/>
      <c r="U7" s="8">
        <f t="shared" si="1"/>
        <v>2.9</v>
      </c>
      <c r="V7" s="8">
        <f t="shared" si="2"/>
        <v>31</v>
      </c>
      <c r="W7" s="8" t="str">
        <f t="shared" si="3"/>
        <v/>
      </c>
      <c r="X7" s="8" t="str">
        <f t="shared" si="4"/>
        <v>#N/A</v>
      </c>
    </row>
    <row r="8">
      <c r="A8" s="4">
        <f t="shared" si="5"/>
        <v>7</v>
      </c>
      <c r="B8" s="4" t="s">
        <v>288</v>
      </c>
      <c r="C8" s="4" t="s">
        <v>280</v>
      </c>
      <c r="D8" s="4" t="s">
        <v>10</v>
      </c>
      <c r="E8" s="4" t="s">
        <v>511</v>
      </c>
      <c r="F8" s="5">
        <v>4.1</v>
      </c>
      <c r="G8" s="5">
        <v>3.0</v>
      </c>
      <c r="H8" s="6"/>
      <c r="I8" s="7"/>
      <c r="J8" s="7"/>
      <c r="K8" s="7"/>
      <c r="L8" s="7"/>
      <c r="M8" s="7"/>
      <c r="N8" s="7"/>
      <c r="O8" s="7"/>
      <c r="P8" s="7"/>
      <c r="Q8" s="7"/>
      <c r="U8" s="8" t="str">
        <f t="shared" si="1"/>
        <v/>
      </c>
      <c r="V8" s="8" t="str">
        <f t="shared" si="2"/>
        <v>#N/A</v>
      </c>
      <c r="W8" s="8">
        <f t="shared" si="3"/>
        <v>4.1</v>
      </c>
      <c r="X8" s="8">
        <f t="shared" si="4"/>
        <v>8</v>
      </c>
    </row>
    <row r="9">
      <c r="A9" s="4">
        <f t="shared" si="5"/>
        <v>8</v>
      </c>
      <c r="B9" s="4" t="s">
        <v>288</v>
      </c>
      <c r="C9" s="4" t="s">
        <v>273</v>
      </c>
      <c r="D9" s="4" t="s">
        <v>8</v>
      </c>
      <c r="E9" s="4" t="s">
        <v>40</v>
      </c>
      <c r="F9" s="5">
        <v>7.5</v>
      </c>
      <c r="G9" s="5">
        <v>1.0</v>
      </c>
      <c r="H9" s="7"/>
      <c r="I9" s="7"/>
      <c r="J9" s="7"/>
      <c r="K9" s="7"/>
      <c r="L9" s="7"/>
      <c r="M9" s="7"/>
      <c r="N9" s="7"/>
      <c r="O9" s="7"/>
      <c r="P9" s="7"/>
      <c r="Q9" s="7"/>
      <c r="U9" s="8">
        <f t="shared" si="1"/>
        <v>7.5</v>
      </c>
      <c r="V9" s="8">
        <f t="shared" si="2"/>
        <v>6</v>
      </c>
      <c r="W9" s="8" t="str">
        <f t="shared" si="3"/>
        <v/>
      </c>
      <c r="X9" s="8" t="str">
        <f t="shared" si="4"/>
        <v>#N/A</v>
      </c>
    </row>
    <row r="10">
      <c r="A10" s="4">
        <f t="shared" si="5"/>
        <v>9</v>
      </c>
      <c r="B10" s="4" t="s">
        <v>287</v>
      </c>
      <c r="C10" s="4" t="s">
        <v>281</v>
      </c>
      <c r="D10" s="4" t="s">
        <v>10</v>
      </c>
      <c r="E10" s="4" t="s">
        <v>116</v>
      </c>
      <c r="F10" s="5">
        <v>5.0</v>
      </c>
      <c r="G10" s="5">
        <v>3.0</v>
      </c>
      <c r="H10" s="6"/>
      <c r="I10" s="6"/>
      <c r="J10" s="7"/>
      <c r="K10" s="7"/>
      <c r="L10" s="7"/>
      <c r="M10" s="7"/>
      <c r="N10" s="7"/>
      <c r="O10" s="7"/>
      <c r="P10" s="7"/>
      <c r="Q10" s="7"/>
      <c r="U10" s="8" t="str">
        <f t="shared" si="1"/>
        <v/>
      </c>
      <c r="V10" s="8" t="str">
        <f t="shared" si="2"/>
        <v>#N/A</v>
      </c>
      <c r="W10" s="8">
        <f t="shared" si="3"/>
        <v>5</v>
      </c>
      <c r="X10" s="8">
        <f t="shared" si="4"/>
        <v>6</v>
      </c>
    </row>
    <row r="11">
      <c r="A11" s="4">
        <f t="shared" si="5"/>
        <v>10</v>
      </c>
      <c r="B11" s="4" t="s">
        <v>287</v>
      </c>
      <c r="C11" s="4" t="s">
        <v>285</v>
      </c>
      <c r="D11" s="4" t="s">
        <v>8</v>
      </c>
      <c r="E11" s="4" t="s">
        <v>400</v>
      </c>
      <c r="F11" s="5">
        <v>4.3</v>
      </c>
      <c r="G11" s="5">
        <v>1.0</v>
      </c>
      <c r="H11" s="7"/>
      <c r="I11" s="7"/>
      <c r="J11" s="7"/>
      <c r="K11" s="7"/>
      <c r="L11" s="7"/>
      <c r="M11" s="7"/>
      <c r="N11" s="7"/>
      <c r="O11" s="7"/>
      <c r="P11" s="7"/>
      <c r="Q11" s="7"/>
      <c r="U11" s="8">
        <f t="shared" si="1"/>
        <v>4.3</v>
      </c>
      <c r="V11" s="8">
        <f t="shared" si="2"/>
        <v>19</v>
      </c>
      <c r="W11" s="8" t="str">
        <f t="shared" si="3"/>
        <v/>
      </c>
      <c r="X11" s="8" t="str">
        <f t="shared" si="4"/>
        <v>#N/A</v>
      </c>
    </row>
    <row r="12">
      <c r="A12" s="4">
        <f t="shared" si="5"/>
        <v>11</v>
      </c>
      <c r="B12" s="4" t="s">
        <v>286</v>
      </c>
      <c r="C12" s="4" t="s">
        <v>274</v>
      </c>
      <c r="D12" s="4" t="s">
        <v>10</v>
      </c>
      <c r="E12" s="4" t="s">
        <v>132</v>
      </c>
      <c r="F12" s="5">
        <v>4.5</v>
      </c>
      <c r="G12" s="5">
        <v>3.0</v>
      </c>
      <c r="H12" s="7"/>
      <c r="I12" s="7"/>
      <c r="J12" s="7"/>
      <c r="K12" s="7"/>
      <c r="L12" s="7"/>
      <c r="M12" s="7"/>
      <c r="N12" s="7"/>
      <c r="O12" s="7"/>
      <c r="P12" s="7"/>
      <c r="Q12" s="7"/>
      <c r="U12" s="8" t="str">
        <f t="shared" si="1"/>
        <v/>
      </c>
      <c r="V12" s="8" t="str">
        <f t="shared" si="2"/>
        <v>#N/A</v>
      </c>
      <c r="W12" s="8">
        <f t="shared" si="3"/>
        <v>4.5</v>
      </c>
      <c r="X12" s="8">
        <f t="shared" si="4"/>
        <v>7</v>
      </c>
    </row>
    <row r="13">
      <c r="A13" s="4">
        <f t="shared" si="5"/>
        <v>12</v>
      </c>
      <c r="B13" s="4" t="s">
        <v>286</v>
      </c>
      <c r="C13" s="4" t="s">
        <v>293</v>
      </c>
      <c r="D13" s="4" t="s">
        <v>8</v>
      </c>
      <c r="E13" s="4" t="s">
        <v>154</v>
      </c>
      <c r="F13" s="5">
        <v>3.6</v>
      </c>
      <c r="G13" s="5">
        <v>1.0</v>
      </c>
      <c r="H13" s="7"/>
      <c r="I13" s="7"/>
      <c r="J13" s="7"/>
      <c r="K13" s="7"/>
      <c r="L13" s="7"/>
      <c r="M13" s="7"/>
      <c r="N13" s="7"/>
      <c r="O13" s="7"/>
      <c r="P13" s="7"/>
      <c r="Q13" s="7"/>
      <c r="U13" s="8">
        <f t="shared" si="1"/>
        <v>3.6</v>
      </c>
      <c r="V13" s="8">
        <f t="shared" si="2"/>
        <v>23</v>
      </c>
      <c r="W13" s="8" t="str">
        <f t="shared" si="3"/>
        <v/>
      </c>
      <c r="X13" s="8" t="str">
        <f t="shared" si="4"/>
        <v>#N/A</v>
      </c>
    </row>
    <row r="14">
      <c r="A14" s="4">
        <f t="shared" si="5"/>
        <v>13</v>
      </c>
      <c r="B14" s="4" t="s">
        <v>281</v>
      </c>
      <c r="C14" s="4" t="s">
        <v>274</v>
      </c>
      <c r="D14" s="4" t="s">
        <v>10</v>
      </c>
      <c r="E14" s="4" t="s">
        <v>237</v>
      </c>
      <c r="F14" s="5">
        <v>4.1</v>
      </c>
      <c r="G14" s="5">
        <v>3.0</v>
      </c>
      <c r="H14" s="6"/>
      <c r="I14" s="6"/>
      <c r="J14" s="6"/>
      <c r="K14" s="6"/>
      <c r="L14" s="7"/>
      <c r="M14" s="7"/>
      <c r="N14" s="7"/>
      <c r="O14" s="7"/>
      <c r="P14" s="7"/>
      <c r="Q14" s="7"/>
      <c r="U14" s="8" t="str">
        <f t="shared" si="1"/>
        <v/>
      </c>
      <c r="V14" s="8" t="str">
        <f t="shared" si="2"/>
        <v>#N/A</v>
      </c>
      <c r="W14" s="8">
        <f t="shared" si="3"/>
        <v>4.1</v>
      </c>
      <c r="X14" s="8">
        <f t="shared" si="4"/>
        <v>8</v>
      </c>
    </row>
    <row r="15">
      <c r="A15" s="4">
        <f t="shared" si="5"/>
        <v>14</v>
      </c>
      <c r="B15" s="4" t="s">
        <v>281</v>
      </c>
      <c r="C15" s="4" t="s">
        <v>287</v>
      </c>
      <c r="D15" s="4" t="s">
        <v>8</v>
      </c>
      <c r="E15" s="4" t="s">
        <v>241</v>
      </c>
      <c r="F15" s="5">
        <v>6.0</v>
      </c>
      <c r="G15" s="5">
        <v>1.0</v>
      </c>
      <c r="H15" s="7"/>
      <c r="I15" s="7"/>
      <c r="J15" s="7"/>
      <c r="K15" s="7"/>
      <c r="L15" s="7"/>
      <c r="M15" s="7"/>
      <c r="N15" s="7"/>
      <c r="O15" s="7"/>
      <c r="P15" s="7"/>
      <c r="Q15" s="7"/>
      <c r="U15" s="8">
        <f t="shared" si="1"/>
        <v>6</v>
      </c>
      <c r="V15" s="8">
        <f t="shared" si="2"/>
        <v>14</v>
      </c>
      <c r="W15" s="8" t="str">
        <f t="shared" si="3"/>
        <v/>
      </c>
      <c r="X15" s="8" t="str">
        <f t="shared" si="4"/>
        <v>#N/A</v>
      </c>
    </row>
    <row r="16">
      <c r="A16" s="4">
        <f t="shared" si="5"/>
        <v>15</v>
      </c>
      <c r="B16" s="4" t="s">
        <v>285</v>
      </c>
      <c r="C16" s="4" t="s">
        <v>288</v>
      </c>
      <c r="D16" s="4" t="s">
        <v>10</v>
      </c>
      <c r="E16" s="4" t="s">
        <v>88</v>
      </c>
      <c r="F16" s="5">
        <v>5.1</v>
      </c>
      <c r="G16" s="5">
        <v>3.0</v>
      </c>
      <c r="H16" s="7"/>
      <c r="I16" s="7"/>
      <c r="J16" s="7"/>
      <c r="K16" s="7"/>
      <c r="L16" s="7"/>
      <c r="M16" s="7"/>
      <c r="N16" s="7"/>
      <c r="O16" s="7"/>
      <c r="P16" s="7"/>
      <c r="Q16" s="7"/>
      <c r="U16" s="8" t="str">
        <f t="shared" si="1"/>
        <v/>
      </c>
      <c r="V16" s="8" t="str">
        <f t="shared" si="2"/>
        <v>#N/A</v>
      </c>
      <c r="W16" s="8">
        <f t="shared" si="3"/>
        <v>5.1</v>
      </c>
      <c r="X16" s="8">
        <f t="shared" si="4"/>
        <v>5</v>
      </c>
    </row>
    <row r="17">
      <c r="A17" s="4">
        <f t="shared" si="5"/>
        <v>16</v>
      </c>
      <c r="B17" s="4" t="s">
        <v>285</v>
      </c>
      <c r="C17" s="4" t="s">
        <v>285</v>
      </c>
      <c r="D17" s="4" t="s">
        <v>8</v>
      </c>
      <c r="E17" s="4" t="s">
        <v>210</v>
      </c>
      <c r="F17" s="5">
        <v>0.8</v>
      </c>
      <c r="G17" s="5">
        <v>1.0</v>
      </c>
      <c r="H17" s="7"/>
      <c r="I17" s="7"/>
      <c r="J17" s="7"/>
      <c r="K17" s="7"/>
      <c r="L17" s="7"/>
      <c r="M17" s="7"/>
      <c r="N17" s="7"/>
      <c r="O17" s="7"/>
      <c r="P17" s="7"/>
      <c r="Q17" s="7"/>
      <c r="U17" s="8">
        <f t="shared" si="1"/>
        <v>0.8</v>
      </c>
      <c r="V17" s="8">
        <f t="shared" si="2"/>
        <v>80</v>
      </c>
      <c r="W17" s="8" t="str">
        <f t="shared" si="3"/>
        <v/>
      </c>
      <c r="X17" s="8" t="str">
        <f t="shared" si="4"/>
        <v>#N/A</v>
      </c>
    </row>
    <row r="18">
      <c r="A18" s="4">
        <f t="shared" si="5"/>
        <v>17</v>
      </c>
      <c r="B18" s="4" t="s">
        <v>273</v>
      </c>
      <c r="C18" s="4" t="s">
        <v>281</v>
      </c>
      <c r="D18" s="4" t="s">
        <v>10</v>
      </c>
      <c r="E18" s="4" t="s">
        <v>245</v>
      </c>
      <c r="F18" s="5">
        <v>2.6</v>
      </c>
      <c r="G18" s="5">
        <v>4.0</v>
      </c>
      <c r="H18" s="7"/>
      <c r="I18" s="7"/>
      <c r="J18" s="7"/>
      <c r="K18" s="7"/>
      <c r="L18" s="7"/>
      <c r="M18" s="7"/>
      <c r="N18" s="7"/>
      <c r="O18" s="7"/>
      <c r="P18" s="7"/>
      <c r="Q18" s="7"/>
      <c r="U18" s="8" t="str">
        <f t="shared" si="1"/>
        <v/>
      </c>
      <c r="V18" s="8" t="str">
        <f t="shared" si="2"/>
        <v>#N/A</v>
      </c>
      <c r="W18" s="8">
        <f t="shared" si="3"/>
        <v>2.6</v>
      </c>
      <c r="X18" s="8">
        <f t="shared" si="4"/>
        <v>13</v>
      </c>
    </row>
    <row r="19">
      <c r="A19" s="4">
        <f t="shared" si="5"/>
        <v>18</v>
      </c>
      <c r="B19" s="4" t="s">
        <v>273</v>
      </c>
      <c r="C19" s="4" t="s">
        <v>286</v>
      </c>
      <c r="D19" s="4" t="s">
        <v>8</v>
      </c>
      <c r="E19" s="4" t="s">
        <v>97</v>
      </c>
      <c r="F19" s="5">
        <v>7.3</v>
      </c>
      <c r="G19" s="5">
        <v>1.0</v>
      </c>
      <c r="H19" s="7"/>
      <c r="I19" s="7"/>
      <c r="J19" s="7"/>
      <c r="K19" s="7"/>
      <c r="L19" s="7"/>
      <c r="M19" s="7"/>
      <c r="N19" s="7"/>
      <c r="O19" s="7"/>
      <c r="P19" s="7"/>
      <c r="Q19" s="7"/>
      <c r="U19" s="8">
        <f t="shared" si="1"/>
        <v>7.3</v>
      </c>
      <c r="V19" s="8">
        <f t="shared" si="2"/>
        <v>7</v>
      </c>
      <c r="W19" s="8" t="str">
        <f t="shared" si="3"/>
        <v/>
      </c>
      <c r="X19" s="8" t="str">
        <f t="shared" si="4"/>
        <v>#N/A</v>
      </c>
    </row>
    <row r="20">
      <c r="A20" s="4">
        <f t="shared" si="5"/>
        <v>19</v>
      </c>
      <c r="B20" s="4" t="s">
        <v>274</v>
      </c>
      <c r="C20" s="4" t="s">
        <v>274</v>
      </c>
      <c r="D20" s="4" t="s">
        <v>8</v>
      </c>
      <c r="E20" s="4" t="s">
        <v>512</v>
      </c>
      <c r="F20" s="5">
        <v>7.9</v>
      </c>
      <c r="G20" s="5">
        <v>1.0</v>
      </c>
      <c r="H20" s="7"/>
      <c r="I20" s="7"/>
      <c r="J20" s="7"/>
      <c r="K20" s="7"/>
      <c r="L20" s="7"/>
      <c r="M20" s="7"/>
      <c r="N20" s="7"/>
      <c r="O20" s="7"/>
      <c r="P20" s="7"/>
      <c r="Q20" s="7"/>
      <c r="U20" s="8">
        <f t="shared" si="1"/>
        <v>7.9</v>
      </c>
      <c r="V20" s="8">
        <f t="shared" si="2"/>
        <v>3</v>
      </c>
      <c r="W20" s="8" t="str">
        <f t="shared" si="3"/>
        <v/>
      </c>
      <c r="X20" s="8" t="str">
        <f t="shared" si="4"/>
        <v>#N/A</v>
      </c>
    </row>
    <row r="21">
      <c r="A21" s="4">
        <f t="shared" si="5"/>
        <v>20</v>
      </c>
      <c r="B21" s="4" t="s">
        <v>293</v>
      </c>
      <c r="C21" s="4" t="s">
        <v>274</v>
      </c>
      <c r="D21" s="4" t="s">
        <v>10</v>
      </c>
      <c r="E21" s="4" t="s">
        <v>230</v>
      </c>
      <c r="F21" s="5">
        <v>6.5</v>
      </c>
      <c r="G21" s="5">
        <v>2.0</v>
      </c>
      <c r="H21" s="6"/>
      <c r="I21" s="6"/>
      <c r="J21" s="6"/>
      <c r="K21" s="7"/>
      <c r="L21" s="7"/>
      <c r="M21" s="7"/>
      <c r="N21" s="7"/>
      <c r="O21" s="7"/>
      <c r="P21" s="7"/>
      <c r="Q21" s="7"/>
      <c r="U21" s="8" t="str">
        <f t="shared" si="1"/>
        <v/>
      </c>
      <c r="V21" s="8" t="str">
        <f t="shared" si="2"/>
        <v>#N/A</v>
      </c>
      <c r="W21" s="8">
        <f t="shared" si="3"/>
        <v>6.5</v>
      </c>
      <c r="X21" s="8">
        <f t="shared" si="4"/>
        <v>3</v>
      </c>
    </row>
    <row r="22">
      <c r="A22" s="4">
        <f t="shared" si="5"/>
        <v>21</v>
      </c>
      <c r="B22" s="4" t="s">
        <v>293</v>
      </c>
      <c r="C22" s="4" t="s">
        <v>294</v>
      </c>
      <c r="D22" s="4" t="s">
        <v>8</v>
      </c>
      <c r="E22" s="4" t="s">
        <v>473</v>
      </c>
      <c r="F22" s="5">
        <v>7.1</v>
      </c>
      <c r="G22" s="5">
        <v>1.0</v>
      </c>
      <c r="H22" s="7"/>
      <c r="I22" s="7"/>
      <c r="J22" s="7"/>
      <c r="K22" s="7"/>
      <c r="L22" s="7"/>
      <c r="M22" s="7"/>
      <c r="N22" s="7"/>
      <c r="O22" s="7"/>
      <c r="P22" s="7"/>
      <c r="Q22" s="7"/>
      <c r="U22" s="8">
        <f t="shared" si="1"/>
        <v>7.1</v>
      </c>
      <c r="V22" s="8">
        <f t="shared" si="2"/>
        <v>8</v>
      </c>
      <c r="W22" s="8" t="str">
        <f t="shared" si="3"/>
        <v/>
      </c>
      <c r="X22" s="8" t="str">
        <f t="shared" si="4"/>
        <v>#N/A</v>
      </c>
    </row>
    <row r="23">
      <c r="A23" s="4">
        <f t="shared" si="5"/>
        <v>22</v>
      </c>
      <c r="B23" s="4" t="s">
        <v>280</v>
      </c>
      <c r="C23" s="4" t="s">
        <v>287</v>
      </c>
      <c r="D23" s="4" t="s">
        <v>10</v>
      </c>
      <c r="E23" s="4" t="s">
        <v>123</v>
      </c>
      <c r="F23" s="5">
        <v>3.0</v>
      </c>
      <c r="G23" s="5">
        <v>3.0</v>
      </c>
      <c r="H23" s="7"/>
      <c r="I23" s="7"/>
      <c r="J23" s="7"/>
      <c r="K23" s="7"/>
      <c r="L23" s="7"/>
      <c r="M23" s="7"/>
      <c r="N23" s="7"/>
      <c r="O23" s="7"/>
      <c r="P23" s="7"/>
      <c r="Q23" s="7"/>
      <c r="U23" s="8" t="str">
        <f t="shared" si="1"/>
        <v/>
      </c>
      <c r="V23" s="8" t="str">
        <f t="shared" si="2"/>
        <v>#N/A</v>
      </c>
      <c r="W23" s="8">
        <f t="shared" si="3"/>
        <v>3</v>
      </c>
      <c r="X23" s="8">
        <f t="shared" si="4"/>
        <v>10</v>
      </c>
    </row>
    <row r="24">
      <c r="A24" s="4">
        <f t="shared" si="5"/>
        <v>23</v>
      </c>
      <c r="B24" s="4" t="s">
        <v>280</v>
      </c>
      <c r="C24" s="4" t="s">
        <v>286</v>
      </c>
      <c r="D24" s="4" t="s">
        <v>8</v>
      </c>
      <c r="E24" s="4" t="s">
        <v>81</v>
      </c>
      <c r="F24" s="5">
        <v>6.8</v>
      </c>
      <c r="G24" s="5">
        <v>1.0</v>
      </c>
      <c r="H24" s="7"/>
      <c r="I24" s="7"/>
      <c r="J24" s="7"/>
      <c r="K24" s="7"/>
      <c r="L24" s="7"/>
      <c r="M24" s="7"/>
      <c r="N24" s="7"/>
      <c r="O24" s="7"/>
      <c r="P24" s="7"/>
      <c r="Q24" s="7"/>
      <c r="U24" s="8">
        <f t="shared" si="1"/>
        <v>6.8</v>
      </c>
      <c r="V24" s="8">
        <f t="shared" si="2"/>
        <v>9</v>
      </c>
      <c r="W24" s="8" t="str">
        <f t="shared" si="3"/>
        <v/>
      </c>
      <c r="X24" s="8" t="str">
        <f t="shared" si="4"/>
        <v>#N/A</v>
      </c>
    </row>
    <row r="25">
      <c r="A25" s="4">
        <f t="shared" si="5"/>
        <v>24</v>
      </c>
      <c r="B25" s="4" t="s">
        <v>284</v>
      </c>
      <c r="C25" s="4" t="s">
        <v>280</v>
      </c>
      <c r="D25" s="4" t="s">
        <v>8</v>
      </c>
      <c r="E25" s="4" t="s">
        <v>93</v>
      </c>
      <c r="F25" s="5">
        <v>6.1</v>
      </c>
      <c r="G25" s="5">
        <v>1.0</v>
      </c>
      <c r="H25" s="6"/>
      <c r="I25" s="6"/>
      <c r="J25" s="6"/>
      <c r="K25" s="6"/>
      <c r="L25" s="7"/>
      <c r="M25" s="7"/>
      <c r="N25" s="7"/>
      <c r="O25" s="7"/>
      <c r="P25" s="7"/>
      <c r="Q25" s="7"/>
      <c r="U25" s="8">
        <f t="shared" si="1"/>
        <v>6.1</v>
      </c>
      <c r="V25" s="8">
        <f t="shared" si="2"/>
        <v>13</v>
      </c>
      <c r="W25" s="8" t="str">
        <f t="shared" si="3"/>
        <v/>
      </c>
      <c r="X25" s="8" t="str">
        <f t="shared" si="4"/>
        <v>#N/A</v>
      </c>
    </row>
    <row r="26">
      <c r="A26" s="4">
        <f t="shared" si="5"/>
        <v>25</v>
      </c>
      <c r="B26" s="4" t="s">
        <v>294</v>
      </c>
      <c r="C26" s="4" t="s">
        <v>293</v>
      </c>
      <c r="D26" s="4" t="s">
        <v>10</v>
      </c>
      <c r="E26" s="4" t="s">
        <v>32</v>
      </c>
      <c r="F26" s="5">
        <v>2.9</v>
      </c>
      <c r="G26" s="5">
        <v>3.0</v>
      </c>
      <c r="H26" s="7"/>
      <c r="I26" s="7"/>
      <c r="J26" s="7"/>
      <c r="K26" s="7"/>
      <c r="L26" s="7"/>
      <c r="M26" s="7"/>
      <c r="N26" s="7"/>
      <c r="O26" s="7"/>
      <c r="P26" s="7"/>
      <c r="Q26" s="7"/>
      <c r="U26" s="8" t="str">
        <f t="shared" si="1"/>
        <v/>
      </c>
      <c r="V26" s="8" t="str">
        <f t="shared" si="2"/>
        <v>#N/A</v>
      </c>
      <c r="W26" s="8">
        <f t="shared" si="3"/>
        <v>2.9</v>
      </c>
      <c r="X26" s="8">
        <f t="shared" si="4"/>
        <v>11</v>
      </c>
    </row>
    <row r="27">
      <c r="A27" s="4">
        <f t="shared" si="5"/>
        <v>26</v>
      </c>
      <c r="B27" s="4" t="s">
        <v>294</v>
      </c>
      <c r="C27" s="4" t="s">
        <v>280</v>
      </c>
      <c r="D27" s="4" t="s">
        <v>8</v>
      </c>
      <c r="E27" s="4" t="s">
        <v>375</v>
      </c>
      <c r="F27" s="5">
        <v>1.8</v>
      </c>
      <c r="G27" s="5">
        <v>1.0</v>
      </c>
      <c r="H27" s="6"/>
      <c r="I27" s="6"/>
      <c r="J27" s="6"/>
      <c r="K27" s="6"/>
      <c r="L27" s="7"/>
      <c r="M27" s="7"/>
      <c r="N27" s="7"/>
      <c r="O27" s="7"/>
      <c r="P27" s="7"/>
      <c r="Q27" s="7"/>
      <c r="U27" s="8">
        <f t="shared" si="1"/>
        <v>1.8</v>
      </c>
      <c r="V27" s="8">
        <f t="shared" si="2"/>
        <v>45</v>
      </c>
      <c r="W27" s="8" t="str">
        <f t="shared" si="3"/>
        <v/>
      </c>
      <c r="X27" s="8" t="str">
        <f t="shared" si="4"/>
        <v>#N/A</v>
      </c>
    </row>
    <row r="28">
      <c r="A28" s="4">
        <f t="shared" si="5"/>
        <v>27</v>
      </c>
      <c r="B28" s="4" t="s">
        <v>288</v>
      </c>
      <c r="C28" s="4" t="s">
        <v>273</v>
      </c>
      <c r="D28" s="4" t="s">
        <v>10</v>
      </c>
      <c r="E28" s="4" t="s">
        <v>87</v>
      </c>
      <c r="F28" s="5">
        <v>1.8</v>
      </c>
      <c r="G28" s="5">
        <v>2.0</v>
      </c>
      <c r="H28" s="7"/>
      <c r="I28" s="7"/>
      <c r="J28" s="7"/>
      <c r="K28" s="7"/>
      <c r="L28" s="7"/>
      <c r="M28" s="7"/>
      <c r="N28" s="7"/>
      <c r="O28" s="7"/>
      <c r="P28" s="7"/>
      <c r="Q28" s="7"/>
      <c r="U28" s="8" t="str">
        <f t="shared" si="1"/>
        <v/>
      </c>
      <c r="V28" s="8" t="str">
        <f t="shared" si="2"/>
        <v>#N/A</v>
      </c>
      <c r="W28" s="8">
        <f t="shared" si="3"/>
        <v>1.8</v>
      </c>
      <c r="X28" s="8">
        <f t="shared" si="4"/>
        <v>14</v>
      </c>
    </row>
    <row r="29">
      <c r="A29" s="4">
        <f t="shared" si="5"/>
        <v>28</v>
      </c>
      <c r="B29" s="4" t="s">
        <v>288</v>
      </c>
      <c r="C29" s="4" t="s">
        <v>281</v>
      </c>
      <c r="D29" s="4" t="s">
        <v>8</v>
      </c>
      <c r="E29" s="4" t="s">
        <v>434</v>
      </c>
      <c r="F29" s="5">
        <v>7.7</v>
      </c>
      <c r="G29" s="5">
        <v>1.0</v>
      </c>
      <c r="H29" s="7"/>
      <c r="I29" s="7"/>
      <c r="J29" s="7"/>
      <c r="K29" s="7"/>
      <c r="L29" s="7"/>
      <c r="M29" s="7"/>
      <c r="N29" s="7"/>
      <c r="O29" s="7"/>
      <c r="P29" s="7"/>
      <c r="Q29" s="7"/>
      <c r="U29" s="8">
        <f t="shared" si="1"/>
        <v>7.7</v>
      </c>
      <c r="V29" s="8">
        <f t="shared" si="2"/>
        <v>5</v>
      </c>
      <c r="W29" s="8" t="str">
        <f t="shared" si="3"/>
        <v/>
      </c>
      <c r="X29" s="8" t="str">
        <f t="shared" si="4"/>
        <v>#N/A</v>
      </c>
    </row>
    <row r="30">
      <c r="A30" s="4">
        <f t="shared" si="5"/>
        <v>29</v>
      </c>
      <c r="B30" s="4" t="s">
        <v>287</v>
      </c>
      <c r="C30" s="4" t="s">
        <v>287</v>
      </c>
      <c r="D30" s="4" t="s">
        <v>10</v>
      </c>
      <c r="E30" s="4" t="s">
        <v>513</v>
      </c>
      <c r="F30" s="5">
        <v>0.9</v>
      </c>
      <c r="G30" s="5">
        <v>3.0</v>
      </c>
      <c r="H30" s="11"/>
      <c r="I30" s="7"/>
      <c r="J30" s="7"/>
      <c r="K30" s="7"/>
      <c r="L30" s="7"/>
      <c r="M30" s="7"/>
      <c r="N30" s="7"/>
      <c r="O30" s="7"/>
      <c r="P30" s="7"/>
      <c r="Q30" s="7"/>
      <c r="U30" s="8" t="str">
        <f t="shared" si="1"/>
        <v/>
      </c>
      <c r="V30" s="8" t="str">
        <f t="shared" si="2"/>
        <v>#N/A</v>
      </c>
      <c r="W30" s="8">
        <f t="shared" si="3"/>
        <v>0.9</v>
      </c>
      <c r="X30" s="8">
        <f t="shared" si="4"/>
        <v>17</v>
      </c>
    </row>
    <row r="31">
      <c r="A31" s="4">
        <f t="shared" si="5"/>
        <v>30</v>
      </c>
      <c r="B31" s="4" t="s">
        <v>287</v>
      </c>
      <c r="C31" s="4" t="s">
        <v>273</v>
      </c>
      <c r="D31" s="4" t="s">
        <v>8</v>
      </c>
      <c r="E31" s="4" t="s">
        <v>50</v>
      </c>
      <c r="F31" s="5">
        <v>9.0</v>
      </c>
      <c r="G31" s="5">
        <v>1.0</v>
      </c>
      <c r="H31" s="7"/>
      <c r="I31" s="7"/>
      <c r="J31" s="7"/>
      <c r="K31" s="7"/>
      <c r="L31" s="7"/>
      <c r="M31" s="7"/>
      <c r="N31" s="7"/>
      <c r="O31" s="7"/>
      <c r="P31" s="7"/>
      <c r="Q31" s="7"/>
      <c r="U31" s="8">
        <f t="shared" si="1"/>
        <v>9</v>
      </c>
      <c r="V31" s="8">
        <f t="shared" si="2"/>
        <v>1</v>
      </c>
      <c r="W31" s="8" t="str">
        <f t="shared" si="3"/>
        <v/>
      </c>
      <c r="X31" s="8" t="str">
        <f t="shared" si="4"/>
        <v>#N/A</v>
      </c>
    </row>
    <row r="32">
      <c r="A32" s="4">
        <f t="shared" si="5"/>
        <v>31</v>
      </c>
      <c r="B32" s="4" t="s">
        <v>286</v>
      </c>
      <c r="C32" s="4" t="s">
        <v>284</v>
      </c>
      <c r="D32" s="4" t="s">
        <v>10</v>
      </c>
      <c r="E32" s="4" t="s">
        <v>262</v>
      </c>
      <c r="F32" s="5">
        <v>0.7</v>
      </c>
      <c r="G32" s="5">
        <v>2.0</v>
      </c>
      <c r="H32" s="7"/>
      <c r="I32" s="7"/>
      <c r="J32" s="7"/>
      <c r="K32" s="7"/>
      <c r="L32" s="7"/>
      <c r="M32" s="7"/>
      <c r="N32" s="7"/>
      <c r="O32" s="7"/>
      <c r="P32" s="7"/>
      <c r="Q32" s="7"/>
      <c r="U32" s="8" t="str">
        <f t="shared" si="1"/>
        <v/>
      </c>
      <c r="V32" s="8" t="str">
        <f t="shared" si="2"/>
        <v>#N/A</v>
      </c>
      <c r="W32" s="8">
        <f t="shared" si="3"/>
        <v>0.7</v>
      </c>
      <c r="X32" s="8">
        <f t="shared" si="4"/>
        <v>19</v>
      </c>
    </row>
    <row r="33">
      <c r="A33" s="4">
        <f t="shared" si="5"/>
        <v>32</v>
      </c>
      <c r="B33" s="4" t="s">
        <v>286</v>
      </c>
      <c r="C33" s="4" t="s">
        <v>285</v>
      </c>
      <c r="D33" s="4" t="s">
        <v>8</v>
      </c>
      <c r="E33" s="4" t="s">
        <v>462</v>
      </c>
      <c r="F33" s="5">
        <v>2.0</v>
      </c>
      <c r="G33" s="5">
        <v>1.0</v>
      </c>
      <c r="H33" s="6"/>
      <c r="I33" s="7"/>
      <c r="J33" s="7"/>
      <c r="K33" s="7"/>
      <c r="L33" s="7"/>
      <c r="M33" s="7"/>
      <c r="N33" s="7"/>
      <c r="O33" s="7"/>
      <c r="P33" s="7"/>
      <c r="Q33" s="7"/>
      <c r="U33" s="8">
        <f t="shared" si="1"/>
        <v>2</v>
      </c>
      <c r="V33" s="8">
        <f t="shared" si="2"/>
        <v>39</v>
      </c>
      <c r="W33" s="8" t="str">
        <f t="shared" si="3"/>
        <v/>
      </c>
      <c r="X33" s="8" t="str">
        <f t="shared" si="4"/>
        <v>#N/A</v>
      </c>
    </row>
    <row r="34">
      <c r="A34" s="4">
        <f t="shared" si="5"/>
        <v>33</v>
      </c>
      <c r="B34" s="4" t="s">
        <v>281</v>
      </c>
      <c r="C34" s="4" t="s">
        <v>288</v>
      </c>
      <c r="D34" s="4" t="s">
        <v>10</v>
      </c>
      <c r="E34" s="4" t="s">
        <v>480</v>
      </c>
      <c r="F34" s="5">
        <v>0.9</v>
      </c>
      <c r="G34" s="5">
        <v>1.0</v>
      </c>
      <c r="H34" s="7"/>
      <c r="I34" s="7"/>
      <c r="J34" s="7"/>
      <c r="K34" s="7"/>
      <c r="L34" s="7"/>
      <c r="M34" s="7"/>
      <c r="N34" s="7"/>
      <c r="O34" s="7"/>
      <c r="P34" s="7"/>
      <c r="Q34" s="7"/>
      <c r="U34" s="8" t="str">
        <f t="shared" si="1"/>
        <v/>
      </c>
      <c r="V34" s="8" t="str">
        <f t="shared" si="2"/>
        <v>#N/A</v>
      </c>
      <c r="W34" s="8">
        <f t="shared" si="3"/>
        <v>0.9</v>
      </c>
      <c r="X34" s="8">
        <f t="shared" si="4"/>
        <v>17</v>
      </c>
    </row>
    <row r="35">
      <c r="A35" s="4">
        <f t="shared" si="5"/>
        <v>34</v>
      </c>
      <c r="B35" s="4" t="s">
        <v>281</v>
      </c>
      <c r="C35" s="4" t="s">
        <v>294</v>
      </c>
      <c r="D35" s="4" t="s">
        <v>8</v>
      </c>
      <c r="E35" s="4" t="s">
        <v>84</v>
      </c>
      <c r="F35" s="5">
        <v>7.9</v>
      </c>
      <c r="G35" s="10">
        <v>1.0</v>
      </c>
      <c r="H35" s="7"/>
      <c r="I35" s="7"/>
      <c r="J35" s="7"/>
      <c r="K35" s="7"/>
      <c r="L35" s="7"/>
      <c r="M35" s="7"/>
      <c r="N35" s="7"/>
      <c r="O35" s="7"/>
      <c r="P35" s="7"/>
      <c r="Q35" s="7"/>
      <c r="U35" s="8">
        <f t="shared" si="1"/>
        <v>7.9</v>
      </c>
      <c r="V35" s="8">
        <f t="shared" si="2"/>
        <v>3</v>
      </c>
      <c r="W35" s="8" t="str">
        <f t="shared" si="3"/>
        <v/>
      </c>
      <c r="X35" s="8" t="str">
        <f t="shared" si="4"/>
        <v>#N/A</v>
      </c>
    </row>
    <row r="36">
      <c r="A36" s="4">
        <f t="shared" si="5"/>
        <v>35</v>
      </c>
      <c r="B36" s="4" t="s">
        <v>285</v>
      </c>
      <c r="C36" s="4" t="s">
        <v>286</v>
      </c>
      <c r="D36" s="4" t="s">
        <v>10</v>
      </c>
      <c r="E36" s="4" t="s">
        <v>214</v>
      </c>
      <c r="F36" s="5">
        <v>1.0</v>
      </c>
      <c r="G36" s="10">
        <v>2.0</v>
      </c>
      <c r="H36" s="7"/>
      <c r="I36" s="7"/>
      <c r="J36" s="7"/>
      <c r="K36" s="7"/>
      <c r="L36" s="7"/>
      <c r="M36" s="7"/>
      <c r="N36" s="7"/>
      <c r="O36" s="7"/>
      <c r="P36" s="7"/>
      <c r="Q36" s="7"/>
      <c r="U36" s="8" t="str">
        <f t="shared" si="1"/>
        <v/>
      </c>
      <c r="V36" s="8" t="str">
        <f t="shared" si="2"/>
        <v>#N/A</v>
      </c>
      <c r="W36" s="8">
        <f t="shared" si="3"/>
        <v>1</v>
      </c>
      <c r="X36" s="8">
        <f t="shared" si="4"/>
        <v>15</v>
      </c>
    </row>
    <row r="37">
      <c r="A37" s="4">
        <f t="shared" si="5"/>
        <v>36</v>
      </c>
      <c r="B37" s="4" t="s">
        <v>285</v>
      </c>
      <c r="C37" s="4" t="s">
        <v>284</v>
      </c>
      <c r="D37" s="4" t="s">
        <v>8</v>
      </c>
      <c r="E37" s="4" t="s">
        <v>514</v>
      </c>
      <c r="F37" s="5">
        <v>1.5</v>
      </c>
      <c r="G37" s="10">
        <v>1.0</v>
      </c>
      <c r="H37" s="7"/>
      <c r="I37" s="7"/>
      <c r="J37" s="7"/>
      <c r="K37" s="7"/>
      <c r="L37" s="7"/>
      <c r="M37" s="7"/>
      <c r="N37" s="7"/>
      <c r="O37" s="7"/>
      <c r="P37" s="7"/>
      <c r="Q37" s="7"/>
      <c r="U37" s="8">
        <f t="shared" si="1"/>
        <v>1.5</v>
      </c>
      <c r="V37" s="8">
        <f t="shared" si="2"/>
        <v>53</v>
      </c>
      <c r="W37" s="8" t="str">
        <f t="shared" si="3"/>
        <v/>
      </c>
      <c r="X37" s="8" t="str">
        <f t="shared" si="4"/>
        <v>#N/A</v>
      </c>
    </row>
    <row r="38">
      <c r="A38" s="4">
        <f t="shared" si="5"/>
        <v>37</v>
      </c>
      <c r="B38" s="4" t="s">
        <v>273</v>
      </c>
      <c r="C38" s="4" t="s">
        <v>293</v>
      </c>
      <c r="D38" s="4" t="s">
        <v>8</v>
      </c>
      <c r="E38" s="4" t="s">
        <v>413</v>
      </c>
      <c r="F38" s="5">
        <v>3.5</v>
      </c>
      <c r="G38" s="10">
        <v>1.0</v>
      </c>
      <c r="H38" s="7"/>
      <c r="I38" s="7"/>
      <c r="J38" s="7"/>
      <c r="K38" s="7"/>
      <c r="L38" s="7"/>
      <c r="M38" s="7"/>
      <c r="N38" s="7"/>
      <c r="O38" s="7"/>
      <c r="P38" s="7"/>
      <c r="Q38" s="7"/>
      <c r="U38" s="8">
        <f t="shared" si="1"/>
        <v>3.5</v>
      </c>
      <c r="V38" s="8">
        <f t="shared" si="2"/>
        <v>24</v>
      </c>
      <c r="W38" s="8" t="str">
        <f t="shared" si="3"/>
        <v/>
      </c>
      <c r="X38" s="8" t="str">
        <f t="shared" si="4"/>
        <v>#N/A</v>
      </c>
    </row>
    <row r="39">
      <c r="A39" s="4">
        <f t="shared" si="5"/>
        <v>38</v>
      </c>
      <c r="B39" s="4" t="s">
        <v>274</v>
      </c>
      <c r="C39" s="4" t="s">
        <v>285</v>
      </c>
      <c r="D39" s="4" t="s">
        <v>10</v>
      </c>
      <c r="E39" s="4" t="s">
        <v>412</v>
      </c>
      <c r="F39" s="5">
        <v>2.9</v>
      </c>
      <c r="G39" s="10">
        <v>3.0</v>
      </c>
      <c r="H39" s="7"/>
      <c r="I39" s="7"/>
      <c r="J39" s="7"/>
      <c r="K39" s="7"/>
      <c r="L39" s="7"/>
      <c r="M39" s="7"/>
      <c r="N39" s="7"/>
      <c r="O39" s="7"/>
      <c r="P39" s="7"/>
      <c r="Q39" s="7"/>
      <c r="U39" s="8" t="str">
        <f t="shared" si="1"/>
        <v/>
      </c>
      <c r="V39" s="8" t="str">
        <f t="shared" si="2"/>
        <v>#N/A</v>
      </c>
      <c r="W39" s="8">
        <f t="shared" si="3"/>
        <v>2.9</v>
      </c>
      <c r="X39" s="8">
        <f t="shared" si="4"/>
        <v>11</v>
      </c>
    </row>
    <row r="40">
      <c r="A40" s="4">
        <f t="shared" si="5"/>
        <v>39</v>
      </c>
      <c r="B40" s="4" t="s">
        <v>274</v>
      </c>
      <c r="C40" s="4" t="s">
        <v>273</v>
      </c>
      <c r="D40" s="4" t="s">
        <v>8</v>
      </c>
      <c r="E40" s="4" t="s">
        <v>453</v>
      </c>
      <c r="F40" s="5">
        <v>2.6</v>
      </c>
      <c r="G40" s="10">
        <v>1.0</v>
      </c>
      <c r="H40" s="7"/>
      <c r="I40" s="7"/>
      <c r="J40" s="7"/>
      <c r="K40" s="7"/>
      <c r="L40" s="7"/>
      <c r="M40" s="7"/>
      <c r="N40" s="7"/>
      <c r="O40" s="7"/>
      <c r="P40" s="7"/>
      <c r="Q40" s="7"/>
      <c r="U40" s="8">
        <f t="shared" si="1"/>
        <v>2.6</v>
      </c>
      <c r="V40" s="8">
        <f t="shared" si="2"/>
        <v>33</v>
      </c>
      <c r="W40" s="8" t="str">
        <f t="shared" si="3"/>
        <v/>
      </c>
      <c r="X40" s="8" t="str">
        <f t="shared" si="4"/>
        <v>#N/A</v>
      </c>
    </row>
    <row r="41">
      <c r="A41" s="4">
        <f t="shared" si="5"/>
        <v>40</v>
      </c>
      <c r="B41" s="4" t="s">
        <v>293</v>
      </c>
      <c r="C41" s="4" t="s">
        <v>285</v>
      </c>
      <c r="D41" s="4" t="s">
        <v>10</v>
      </c>
      <c r="E41" s="4" t="s">
        <v>125</v>
      </c>
      <c r="F41" s="5">
        <v>1.0</v>
      </c>
      <c r="G41" s="10">
        <v>2.0</v>
      </c>
      <c r="H41" s="11"/>
      <c r="I41" s="7"/>
      <c r="J41" s="7"/>
      <c r="K41" s="7"/>
      <c r="L41" s="7"/>
      <c r="M41" s="7"/>
      <c r="N41" s="7"/>
      <c r="O41" s="7"/>
      <c r="P41" s="7"/>
      <c r="Q41" s="7"/>
      <c r="U41" s="8" t="str">
        <f t="shared" si="1"/>
        <v/>
      </c>
      <c r="V41" s="8" t="str">
        <f t="shared" si="2"/>
        <v>#N/A</v>
      </c>
      <c r="W41" s="8">
        <f t="shared" si="3"/>
        <v>1</v>
      </c>
      <c r="X41" s="8">
        <f t="shared" si="4"/>
        <v>15</v>
      </c>
    </row>
    <row r="42">
      <c r="A42" s="4">
        <f t="shared" si="5"/>
        <v>41</v>
      </c>
      <c r="B42" s="4" t="s">
        <v>293</v>
      </c>
      <c r="C42" s="4" t="s">
        <v>284</v>
      </c>
      <c r="D42" s="4" t="s">
        <v>8</v>
      </c>
      <c r="E42" s="4" t="s">
        <v>216</v>
      </c>
      <c r="F42" s="5">
        <v>6.6</v>
      </c>
      <c r="G42" s="10">
        <v>1.0</v>
      </c>
      <c r="H42" s="7"/>
      <c r="I42" s="7"/>
      <c r="J42" s="7"/>
      <c r="K42" s="7"/>
      <c r="L42" s="7"/>
      <c r="M42" s="7"/>
      <c r="N42" s="7"/>
      <c r="O42" s="7"/>
      <c r="P42" s="7"/>
      <c r="Q42" s="7"/>
      <c r="U42" s="8">
        <f t="shared" si="1"/>
        <v>6.6</v>
      </c>
      <c r="V42" s="8">
        <f t="shared" si="2"/>
        <v>10</v>
      </c>
      <c r="W42" s="8" t="str">
        <f t="shared" si="3"/>
        <v/>
      </c>
      <c r="X42" s="8" t="str">
        <f t="shared" si="4"/>
        <v>#N/A</v>
      </c>
    </row>
    <row r="43">
      <c r="A43" s="4">
        <f t="shared" si="5"/>
        <v>42</v>
      </c>
      <c r="B43" s="4" t="s">
        <v>280</v>
      </c>
      <c r="C43" s="4" t="s">
        <v>288</v>
      </c>
      <c r="D43" s="4" t="s">
        <v>8</v>
      </c>
      <c r="E43" s="4" t="s">
        <v>333</v>
      </c>
      <c r="F43" s="5">
        <v>4.0</v>
      </c>
      <c r="G43" s="10">
        <v>1.0</v>
      </c>
      <c r="H43" s="7"/>
      <c r="I43" s="7"/>
      <c r="J43" s="7"/>
      <c r="K43" s="7"/>
      <c r="L43" s="7"/>
      <c r="M43" s="7"/>
      <c r="N43" s="7"/>
      <c r="O43" s="7"/>
      <c r="P43" s="7"/>
      <c r="Q43" s="7"/>
      <c r="U43" s="8">
        <f t="shared" si="1"/>
        <v>4</v>
      </c>
      <c r="V43" s="8">
        <f t="shared" si="2"/>
        <v>20</v>
      </c>
      <c r="W43" s="8" t="str">
        <f t="shared" si="3"/>
        <v/>
      </c>
      <c r="X43" s="8" t="str">
        <f t="shared" si="4"/>
        <v>#N/A</v>
      </c>
    </row>
    <row r="44">
      <c r="A44" s="4">
        <f t="shared" si="5"/>
        <v>43</v>
      </c>
      <c r="B44" s="4" t="s">
        <v>284</v>
      </c>
      <c r="C44" s="4" t="s">
        <v>285</v>
      </c>
      <c r="D44" s="4" t="s">
        <v>8</v>
      </c>
      <c r="E44" s="4" t="s">
        <v>171</v>
      </c>
      <c r="F44" s="5">
        <v>3.4</v>
      </c>
      <c r="G44" s="10">
        <v>1.0</v>
      </c>
      <c r="H44" s="6"/>
      <c r="I44" s="7"/>
      <c r="J44" s="7"/>
      <c r="K44" s="7"/>
      <c r="L44" s="7"/>
      <c r="M44" s="7"/>
      <c r="N44" s="7"/>
      <c r="O44" s="7"/>
      <c r="P44" s="7"/>
      <c r="Q44" s="7"/>
      <c r="U44" s="8">
        <f t="shared" si="1"/>
        <v>3.4</v>
      </c>
      <c r="V44" s="8">
        <f t="shared" si="2"/>
        <v>26</v>
      </c>
      <c r="W44" s="8" t="str">
        <f t="shared" si="3"/>
        <v/>
      </c>
      <c r="X44" s="8" t="str">
        <f t="shared" si="4"/>
        <v>#N/A</v>
      </c>
    </row>
    <row r="45">
      <c r="A45" s="4">
        <f t="shared" si="5"/>
        <v>44</v>
      </c>
      <c r="B45" s="4" t="s">
        <v>294</v>
      </c>
      <c r="C45" s="4" t="s">
        <v>287</v>
      </c>
      <c r="D45" s="4" t="s">
        <v>8</v>
      </c>
      <c r="E45" s="4" t="s">
        <v>515</v>
      </c>
      <c r="F45" s="5">
        <v>3.5</v>
      </c>
      <c r="G45" s="10">
        <v>1.0</v>
      </c>
      <c r="H45" s="11"/>
      <c r="I45" s="11"/>
      <c r="J45" s="7"/>
      <c r="K45" s="11"/>
      <c r="L45" s="7"/>
      <c r="M45" s="7"/>
      <c r="N45" s="7"/>
      <c r="O45" s="7"/>
      <c r="P45" s="7"/>
      <c r="Q45" s="7"/>
      <c r="U45" s="8">
        <f t="shared" si="1"/>
        <v>3.5</v>
      </c>
      <c r="V45" s="8">
        <f t="shared" si="2"/>
        <v>24</v>
      </c>
      <c r="W45" s="8" t="str">
        <f t="shared" si="3"/>
        <v/>
      </c>
      <c r="X45" s="8" t="str">
        <f t="shared" si="4"/>
        <v>#N/A</v>
      </c>
    </row>
    <row r="46">
      <c r="A46" s="4">
        <f t="shared" si="5"/>
        <v>45</v>
      </c>
      <c r="B46" s="4" t="s">
        <v>288</v>
      </c>
      <c r="C46" s="4" t="s">
        <v>285</v>
      </c>
      <c r="D46" s="4" t="s">
        <v>10</v>
      </c>
      <c r="E46" s="4" t="s">
        <v>145</v>
      </c>
      <c r="F46" s="5">
        <v>0.6</v>
      </c>
      <c r="G46" s="10">
        <v>3.0</v>
      </c>
      <c r="H46" s="4"/>
      <c r="I46" s="4"/>
      <c r="J46" s="7"/>
      <c r="K46" s="7"/>
      <c r="L46" s="7"/>
      <c r="M46" s="7"/>
      <c r="N46" s="7"/>
      <c r="O46" s="7"/>
      <c r="P46" s="7"/>
      <c r="Q46" s="7"/>
      <c r="U46" s="8" t="str">
        <f t="shared" si="1"/>
        <v/>
      </c>
      <c r="V46" s="8" t="str">
        <f t="shared" si="2"/>
        <v>#N/A</v>
      </c>
      <c r="W46" s="8">
        <f t="shared" si="3"/>
        <v>0.6</v>
      </c>
      <c r="X46" s="8">
        <f t="shared" si="4"/>
        <v>20</v>
      </c>
    </row>
    <row r="47">
      <c r="A47" s="4">
        <f t="shared" si="5"/>
        <v>46</v>
      </c>
      <c r="B47" s="4" t="s">
        <v>288</v>
      </c>
      <c r="C47" s="4" t="s">
        <v>286</v>
      </c>
      <c r="D47" s="4" t="s">
        <v>8</v>
      </c>
      <c r="E47" s="4" t="s">
        <v>404</v>
      </c>
      <c r="F47" s="5">
        <v>4.0</v>
      </c>
      <c r="G47" s="10">
        <v>1.0</v>
      </c>
      <c r="H47" s="7"/>
      <c r="I47" s="7"/>
      <c r="J47" s="7"/>
      <c r="K47" s="11"/>
      <c r="L47" s="11"/>
      <c r="M47" s="7"/>
      <c r="N47" s="7"/>
      <c r="O47" s="7"/>
      <c r="P47" s="7"/>
      <c r="Q47" s="7"/>
      <c r="U47" s="8">
        <f t="shared" si="1"/>
        <v>4</v>
      </c>
      <c r="V47" s="8">
        <f t="shared" si="2"/>
        <v>20</v>
      </c>
      <c r="W47" s="8" t="str">
        <f t="shared" si="3"/>
        <v/>
      </c>
      <c r="X47" s="8" t="str">
        <f t="shared" si="4"/>
        <v>#N/A</v>
      </c>
    </row>
    <row r="48">
      <c r="A48" s="4">
        <f t="shared" si="5"/>
        <v>47</v>
      </c>
      <c r="B48" s="4" t="s">
        <v>287</v>
      </c>
      <c r="C48" s="4" t="s">
        <v>280</v>
      </c>
      <c r="D48" s="4" t="s">
        <v>10</v>
      </c>
      <c r="E48" s="4" t="s">
        <v>516</v>
      </c>
      <c r="F48" s="5">
        <v>0.6</v>
      </c>
      <c r="G48" s="10">
        <v>1.0</v>
      </c>
      <c r="H48" s="6"/>
      <c r="I48" s="6"/>
      <c r="J48" s="7"/>
      <c r="K48" s="7"/>
      <c r="L48" s="7"/>
      <c r="M48" s="7"/>
      <c r="N48" s="7"/>
      <c r="O48" s="7"/>
      <c r="P48" s="7"/>
      <c r="Q48" s="7"/>
      <c r="U48" s="8" t="str">
        <f t="shared" si="1"/>
        <v/>
      </c>
      <c r="V48" s="8" t="str">
        <f t="shared" si="2"/>
        <v>#N/A</v>
      </c>
      <c r="W48" s="8">
        <f t="shared" si="3"/>
        <v>0.6</v>
      </c>
      <c r="X48" s="8">
        <f t="shared" si="4"/>
        <v>20</v>
      </c>
    </row>
    <row r="49">
      <c r="A49" s="4">
        <f t="shared" si="5"/>
        <v>48</v>
      </c>
      <c r="B49" s="4" t="s">
        <v>287</v>
      </c>
      <c r="C49" s="4" t="s">
        <v>286</v>
      </c>
      <c r="D49" s="4" t="s">
        <v>8</v>
      </c>
      <c r="E49" s="4" t="s">
        <v>517</v>
      </c>
      <c r="F49" s="5">
        <v>5.5</v>
      </c>
      <c r="G49" s="10">
        <v>1.0</v>
      </c>
      <c r="H49" s="7"/>
      <c r="I49" s="7"/>
      <c r="J49" s="7"/>
      <c r="K49" s="7"/>
      <c r="L49" s="7"/>
      <c r="M49" s="7"/>
      <c r="N49" s="7"/>
      <c r="O49" s="7"/>
      <c r="P49" s="7"/>
      <c r="Q49" s="7"/>
      <c r="U49" s="8">
        <f t="shared" si="1"/>
        <v>5.5</v>
      </c>
      <c r="V49" s="8">
        <f t="shared" si="2"/>
        <v>15</v>
      </c>
      <c r="W49" s="8" t="str">
        <f t="shared" si="3"/>
        <v/>
      </c>
      <c r="X49" s="8" t="str">
        <f t="shared" si="4"/>
        <v>#N/A</v>
      </c>
    </row>
    <row r="50">
      <c r="A50" s="4">
        <f t="shared" si="5"/>
        <v>49</v>
      </c>
      <c r="B50" s="4" t="s">
        <v>286</v>
      </c>
      <c r="C50" s="4" t="s">
        <v>294</v>
      </c>
      <c r="D50" s="4" t="s">
        <v>8</v>
      </c>
      <c r="E50" s="4" t="s">
        <v>518</v>
      </c>
      <c r="F50" s="5">
        <v>5.1</v>
      </c>
      <c r="G50" s="10">
        <v>1.0</v>
      </c>
      <c r="H50" s="4"/>
      <c r="I50" s="4"/>
      <c r="J50" s="4"/>
      <c r="K50" s="4"/>
      <c r="L50" s="7"/>
      <c r="M50" s="7"/>
      <c r="N50" s="7"/>
      <c r="O50" s="7"/>
      <c r="P50" s="7"/>
      <c r="Q50" s="7"/>
      <c r="U50" s="8">
        <f t="shared" si="1"/>
        <v>5.1</v>
      </c>
      <c r="V50" s="8">
        <f t="shared" si="2"/>
        <v>16</v>
      </c>
      <c r="W50" s="8" t="str">
        <f t="shared" si="3"/>
        <v/>
      </c>
      <c r="X50" s="8" t="str">
        <f t="shared" si="4"/>
        <v>#N/A</v>
      </c>
    </row>
    <row r="51">
      <c r="A51" s="4">
        <f t="shared" si="5"/>
        <v>50</v>
      </c>
      <c r="B51" s="4" t="s">
        <v>281</v>
      </c>
      <c r="C51" s="4" t="s">
        <v>284</v>
      </c>
      <c r="D51" s="4" t="s">
        <v>8</v>
      </c>
      <c r="E51" s="4" t="s">
        <v>396</v>
      </c>
      <c r="F51" s="5">
        <v>4.4</v>
      </c>
      <c r="G51" s="10">
        <v>1.0</v>
      </c>
      <c r="H51" s="7"/>
      <c r="I51" s="7"/>
      <c r="J51" s="7"/>
      <c r="K51" s="7"/>
      <c r="L51" s="7"/>
      <c r="M51" s="7"/>
      <c r="N51" s="7"/>
      <c r="O51" s="7"/>
      <c r="P51" s="7"/>
      <c r="Q51" s="7"/>
      <c r="U51" s="8">
        <f t="shared" si="1"/>
        <v>4.4</v>
      </c>
      <c r="V51" s="8">
        <f t="shared" si="2"/>
        <v>18</v>
      </c>
      <c r="W51" s="8" t="str">
        <f t="shared" si="3"/>
        <v/>
      </c>
      <c r="X51" s="8" t="str">
        <f t="shared" si="4"/>
        <v>#N/A</v>
      </c>
    </row>
    <row r="52">
      <c r="A52" s="4">
        <f t="shared" si="5"/>
        <v>51</v>
      </c>
      <c r="B52" s="4" t="s">
        <v>285</v>
      </c>
      <c r="C52" s="4" t="s">
        <v>285</v>
      </c>
      <c r="D52" s="4" t="s">
        <v>8</v>
      </c>
      <c r="E52" s="4" t="s">
        <v>321</v>
      </c>
      <c r="F52" s="5">
        <v>0.8</v>
      </c>
      <c r="G52" s="10">
        <v>1.0</v>
      </c>
      <c r="H52" s="6"/>
      <c r="I52" s="6"/>
      <c r="J52" s="7"/>
      <c r="K52" s="7"/>
      <c r="L52" s="7"/>
      <c r="M52" s="7"/>
      <c r="N52" s="7"/>
      <c r="O52" s="7"/>
      <c r="P52" s="7"/>
      <c r="Q52" s="7"/>
      <c r="U52" s="8">
        <f t="shared" si="1"/>
        <v>0.8</v>
      </c>
      <c r="V52" s="8">
        <f t="shared" si="2"/>
        <v>80</v>
      </c>
      <c r="W52" s="8" t="str">
        <f t="shared" si="3"/>
        <v/>
      </c>
      <c r="X52" s="8" t="str">
        <f t="shared" si="4"/>
        <v>#N/A</v>
      </c>
    </row>
    <row r="53">
      <c r="A53" s="4">
        <f t="shared" si="5"/>
        <v>52</v>
      </c>
      <c r="B53" s="4" t="s">
        <v>273</v>
      </c>
      <c r="C53" s="4" t="s">
        <v>274</v>
      </c>
      <c r="D53" s="4" t="s">
        <v>8</v>
      </c>
      <c r="E53" s="4" t="s">
        <v>147</v>
      </c>
      <c r="F53" s="5">
        <v>0.9</v>
      </c>
      <c r="G53" s="10">
        <v>1.0</v>
      </c>
      <c r="H53" s="7"/>
      <c r="I53" s="7"/>
      <c r="J53" s="7"/>
      <c r="K53" s="7"/>
      <c r="L53" s="7"/>
      <c r="M53" s="7"/>
      <c r="N53" s="7"/>
      <c r="O53" s="7"/>
      <c r="P53" s="7"/>
      <c r="Q53" s="7"/>
      <c r="U53" s="8">
        <f t="shared" si="1"/>
        <v>0.9</v>
      </c>
      <c r="V53" s="8">
        <f t="shared" si="2"/>
        <v>73</v>
      </c>
      <c r="W53" s="8" t="str">
        <f t="shared" si="3"/>
        <v/>
      </c>
      <c r="X53" s="8" t="str">
        <f t="shared" si="4"/>
        <v>#N/A</v>
      </c>
    </row>
    <row r="54">
      <c r="A54" s="4">
        <f t="shared" si="5"/>
        <v>53</v>
      </c>
      <c r="B54" s="4" t="s">
        <v>274</v>
      </c>
      <c r="C54" s="4" t="s">
        <v>288</v>
      </c>
      <c r="D54" s="4" t="s">
        <v>8</v>
      </c>
      <c r="E54" s="4" t="s">
        <v>126</v>
      </c>
      <c r="F54" s="5">
        <v>6.3</v>
      </c>
      <c r="G54" s="10">
        <v>1.0</v>
      </c>
      <c r="H54" s="7"/>
      <c r="I54" s="7"/>
      <c r="J54" s="7"/>
      <c r="K54" s="7"/>
      <c r="L54" s="7"/>
      <c r="M54" s="7"/>
      <c r="N54" s="7"/>
      <c r="O54" s="7"/>
      <c r="P54" s="7"/>
      <c r="Q54" s="7"/>
      <c r="U54" s="8">
        <f t="shared" si="1"/>
        <v>6.3</v>
      </c>
      <c r="V54" s="8">
        <f t="shared" si="2"/>
        <v>12</v>
      </c>
      <c r="W54" s="8" t="str">
        <f t="shared" si="3"/>
        <v/>
      </c>
      <c r="X54" s="8" t="str">
        <f t="shared" si="4"/>
        <v>#N/A</v>
      </c>
    </row>
    <row r="55">
      <c r="A55" s="4">
        <f t="shared" si="5"/>
        <v>54</v>
      </c>
      <c r="B55" s="4" t="s">
        <v>293</v>
      </c>
      <c r="C55" s="4" t="s">
        <v>293</v>
      </c>
      <c r="D55" s="4" t="s">
        <v>8</v>
      </c>
      <c r="E55" s="4" t="s">
        <v>68</v>
      </c>
      <c r="F55" s="5">
        <v>1.8</v>
      </c>
      <c r="G55" s="10">
        <v>1.0</v>
      </c>
      <c r="H55" s="7"/>
      <c r="I55" s="7"/>
      <c r="J55" s="7"/>
      <c r="K55" s="7"/>
      <c r="L55" s="7"/>
      <c r="M55" s="7"/>
      <c r="N55" s="7"/>
      <c r="O55" s="7"/>
      <c r="P55" s="7"/>
      <c r="Q55" s="7"/>
      <c r="U55" s="8">
        <f t="shared" si="1"/>
        <v>1.8</v>
      </c>
      <c r="V55" s="8">
        <f t="shared" si="2"/>
        <v>45</v>
      </c>
      <c r="W55" s="8" t="str">
        <f t="shared" si="3"/>
        <v/>
      </c>
      <c r="X55" s="8" t="str">
        <f t="shared" si="4"/>
        <v>#N/A</v>
      </c>
    </row>
    <row r="56">
      <c r="A56" s="4">
        <f t="shared" si="5"/>
        <v>55</v>
      </c>
      <c r="B56" s="4" t="s">
        <v>280</v>
      </c>
      <c r="C56" s="4" t="s">
        <v>286</v>
      </c>
      <c r="D56" s="4" t="s">
        <v>8</v>
      </c>
      <c r="E56" s="4" t="s">
        <v>380</v>
      </c>
      <c r="F56" s="5">
        <v>1.3</v>
      </c>
      <c r="G56" s="10">
        <v>1.0</v>
      </c>
      <c r="H56" s="7"/>
      <c r="I56" s="7"/>
      <c r="J56" s="7"/>
      <c r="K56" s="7"/>
      <c r="L56" s="7"/>
      <c r="M56" s="7"/>
      <c r="N56" s="7"/>
      <c r="O56" s="7"/>
      <c r="P56" s="7"/>
      <c r="Q56" s="7"/>
      <c r="U56" s="8">
        <f t="shared" si="1"/>
        <v>1.3</v>
      </c>
      <c r="V56" s="8">
        <f t="shared" si="2"/>
        <v>56</v>
      </c>
      <c r="W56" s="8" t="str">
        <f t="shared" si="3"/>
        <v/>
      </c>
      <c r="X56" s="8" t="str">
        <f t="shared" si="4"/>
        <v>#N/A</v>
      </c>
    </row>
    <row r="57">
      <c r="A57" s="4">
        <f t="shared" si="5"/>
        <v>56</v>
      </c>
      <c r="B57" s="4" t="s">
        <v>284</v>
      </c>
      <c r="C57" s="4" t="s">
        <v>285</v>
      </c>
      <c r="D57" s="4" t="s">
        <v>8</v>
      </c>
      <c r="E57" s="4" t="s">
        <v>463</v>
      </c>
      <c r="F57" s="5">
        <v>2.7</v>
      </c>
      <c r="G57" s="10">
        <v>1.0</v>
      </c>
      <c r="H57" s="7"/>
      <c r="I57" s="7"/>
      <c r="J57" s="7"/>
      <c r="K57" s="7"/>
      <c r="L57" s="7"/>
      <c r="M57" s="7"/>
      <c r="N57" s="7"/>
      <c r="O57" s="7"/>
      <c r="P57" s="7"/>
      <c r="Q57" s="7"/>
      <c r="U57" s="8">
        <f t="shared" si="1"/>
        <v>2.7</v>
      </c>
      <c r="V57" s="8">
        <f t="shared" si="2"/>
        <v>32</v>
      </c>
      <c r="W57" s="8" t="str">
        <f t="shared" si="3"/>
        <v/>
      </c>
      <c r="X57" s="8" t="str">
        <f t="shared" si="4"/>
        <v>#N/A</v>
      </c>
    </row>
    <row r="58">
      <c r="A58" s="4">
        <f t="shared" si="5"/>
        <v>57</v>
      </c>
      <c r="B58" s="4" t="s">
        <v>294</v>
      </c>
      <c r="C58" s="4" t="s">
        <v>294</v>
      </c>
      <c r="D58" s="4" t="s">
        <v>8</v>
      </c>
      <c r="E58" s="4" t="s">
        <v>447</v>
      </c>
      <c r="F58" s="5">
        <v>1.8</v>
      </c>
      <c r="G58" s="10">
        <v>1.0</v>
      </c>
      <c r="H58" s="7"/>
      <c r="I58" s="7"/>
      <c r="J58" s="7"/>
      <c r="K58" s="7"/>
      <c r="L58" s="7"/>
      <c r="M58" s="7"/>
      <c r="N58" s="7"/>
      <c r="O58" s="7"/>
      <c r="P58" s="7"/>
      <c r="Q58" s="7"/>
      <c r="U58" s="8">
        <f t="shared" si="1"/>
        <v>1.8</v>
      </c>
      <c r="V58" s="8">
        <f t="shared" si="2"/>
        <v>45</v>
      </c>
      <c r="W58" s="8" t="str">
        <f t="shared" si="3"/>
        <v/>
      </c>
      <c r="X58" s="8" t="str">
        <f t="shared" si="4"/>
        <v>#N/A</v>
      </c>
    </row>
    <row r="59">
      <c r="A59" s="4">
        <f t="shared" si="5"/>
        <v>58</v>
      </c>
      <c r="B59" s="4" t="s">
        <v>288</v>
      </c>
      <c r="C59" s="4" t="s">
        <v>287</v>
      </c>
      <c r="D59" s="4" t="s">
        <v>8</v>
      </c>
      <c r="E59" s="4" t="s">
        <v>233</v>
      </c>
      <c r="F59" s="5">
        <v>3.2</v>
      </c>
      <c r="G59" s="10">
        <v>1.0</v>
      </c>
      <c r="H59" s="7"/>
      <c r="I59" s="7"/>
      <c r="J59" s="7"/>
      <c r="K59" s="7"/>
      <c r="L59" s="7"/>
      <c r="M59" s="7"/>
      <c r="N59" s="7"/>
      <c r="O59" s="7"/>
      <c r="P59" s="7"/>
      <c r="Q59" s="7"/>
      <c r="U59" s="8">
        <f t="shared" si="1"/>
        <v>3.2</v>
      </c>
      <c r="V59" s="8">
        <f t="shared" si="2"/>
        <v>29</v>
      </c>
      <c r="W59" s="8" t="str">
        <f t="shared" si="3"/>
        <v/>
      </c>
      <c r="X59" s="8" t="str">
        <f t="shared" si="4"/>
        <v>#N/A</v>
      </c>
    </row>
    <row r="60">
      <c r="A60" s="4">
        <f t="shared" si="5"/>
        <v>59</v>
      </c>
      <c r="B60" s="4" t="s">
        <v>287</v>
      </c>
      <c r="C60" s="4" t="s">
        <v>284</v>
      </c>
      <c r="D60" s="4" t="s">
        <v>8</v>
      </c>
      <c r="E60" s="4" t="s">
        <v>519</v>
      </c>
      <c r="F60" s="5">
        <v>0.6</v>
      </c>
      <c r="G60" s="10">
        <v>1.0</v>
      </c>
      <c r="H60" s="7"/>
      <c r="I60" s="7"/>
      <c r="J60" s="7"/>
      <c r="K60" s="7"/>
      <c r="L60" s="7"/>
      <c r="M60" s="7"/>
      <c r="N60" s="7"/>
      <c r="O60" s="7"/>
      <c r="P60" s="7"/>
      <c r="Q60" s="7"/>
      <c r="U60" s="8">
        <f t="shared" si="1"/>
        <v>0.6</v>
      </c>
      <c r="V60" s="8">
        <f t="shared" si="2"/>
        <v>93</v>
      </c>
      <c r="W60" s="8" t="str">
        <f t="shared" si="3"/>
        <v/>
      </c>
      <c r="X60" s="8" t="str">
        <f t="shared" si="4"/>
        <v>#N/A</v>
      </c>
    </row>
    <row r="61">
      <c r="A61" s="4">
        <f t="shared" si="5"/>
        <v>60</v>
      </c>
      <c r="B61" s="4" t="s">
        <v>286</v>
      </c>
      <c r="C61" s="4" t="s">
        <v>280</v>
      </c>
      <c r="D61" s="4" t="s">
        <v>8</v>
      </c>
      <c r="E61" s="4" t="s">
        <v>328</v>
      </c>
      <c r="F61" s="5">
        <v>6.5</v>
      </c>
      <c r="G61" s="10">
        <v>1.0</v>
      </c>
      <c r="H61" s="7"/>
      <c r="I61" s="7"/>
      <c r="J61" s="7"/>
      <c r="K61" s="7"/>
      <c r="L61" s="7"/>
      <c r="M61" s="7"/>
      <c r="N61" s="7"/>
      <c r="O61" s="7"/>
      <c r="P61" s="7"/>
      <c r="Q61" s="7"/>
      <c r="U61" s="8">
        <f t="shared" si="1"/>
        <v>6.5</v>
      </c>
      <c r="V61" s="8">
        <f t="shared" si="2"/>
        <v>11</v>
      </c>
      <c r="W61" s="8" t="str">
        <f t="shared" si="3"/>
        <v/>
      </c>
      <c r="X61" s="8" t="str">
        <f t="shared" si="4"/>
        <v>#N/A</v>
      </c>
    </row>
    <row r="62">
      <c r="A62" s="4">
        <f t="shared" si="5"/>
        <v>61</v>
      </c>
      <c r="B62" s="4" t="s">
        <v>281</v>
      </c>
      <c r="C62" s="4" t="s">
        <v>284</v>
      </c>
      <c r="D62" s="4" t="s">
        <v>8</v>
      </c>
      <c r="E62" s="4" t="s">
        <v>520</v>
      </c>
      <c r="F62" s="5">
        <v>3.2</v>
      </c>
      <c r="G62" s="10">
        <v>1.0</v>
      </c>
      <c r="H62" s="6"/>
      <c r="I62" s="7"/>
      <c r="J62" s="7"/>
      <c r="K62" s="7"/>
      <c r="L62" s="7"/>
      <c r="M62" s="7"/>
      <c r="N62" s="7"/>
      <c r="O62" s="7"/>
      <c r="P62" s="7"/>
      <c r="Q62" s="7"/>
      <c r="U62" s="8">
        <f t="shared" si="1"/>
        <v>3.2</v>
      </c>
      <c r="V62" s="8">
        <f t="shared" si="2"/>
        <v>29</v>
      </c>
      <c r="W62" s="8" t="str">
        <f t="shared" si="3"/>
        <v/>
      </c>
      <c r="X62" s="8" t="str">
        <f t="shared" si="4"/>
        <v>#N/A</v>
      </c>
    </row>
    <row r="63">
      <c r="A63" s="4">
        <f t="shared" si="5"/>
        <v>62</v>
      </c>
      <c r="B63" s="4" t="s">
        <v>285</v>
      </c>
      <c r="C63" s="4" t="s">
        <v>285</v>
      </c>
      <c r="D63" s="4" t="s">
        <v>8</v>
      </c>
      <c r="E63" s="4" t="s">
        <v>521</v>
      </c>
      <c r="F63" s="5">
        <v>0.9</v>
      </c>
      <c r="G63" s="10">
        <v>1.0</v>
      </c>
      <c r="H63" s="7"/>
      <c r="I63" s="7"/>
      <c r="J63" s="7"/>
      <c r="K63" s="7"/>
      <c r="L63" s="7"/>
      <c r="M63" s="7"/>
      <c r="N63" s="7"/>
      <c r="O63" s="7"/>
      <c r="P63" s="7"/>
      <c r="Q63" s="7"/>
      <c r="U63" s="8">
        <f t="shared" si="1"/>
        <v>0.9</v>
      </c>
      <c r="V63" s="8">
        <f t="shared" si="2"/>
        <v>73</v>
      </c>
      <c r="W63" s="8" t="str">
        <f t="shared" si="3"/>
        <v/>
      </c>
      <c r="X63" s="8" t="str">
        <f t="shared" si="4"/>
        <v>#N/A</v>
      </c>
    </row>
    <row r="64">
      <c r="A64" s="4">
        <f t="shared" si="5"/>
        <v>63</v>
      </c>
      <c r="B64" s="4" t="s">
        <v>273</v>
      </c>
      <c r="C64" s="4" t="s">
        <v>293</v>
      </c>
      <c r="D64" s="4" t="s">
        <v>8</v>
      </c>
      <c r="E64" s="4" t="s">
        <v>522</v>
      </c>
      <c r="F64" s="5">
        <v>0.8</v>
      </c>
      <c r="G64" s="10">
        <v>4.0</v>
      </c>
      <c r="H64" s="7"/>
      <c r="I64" s="7"/>
      <c r="J64" s="7"/>
      <c r="K64" s="7"/>
      <c r="L64" s="7"/>
      <c r="M64" s="7"/>
      <c r="N64" s="7"/>
      <c r="O64" s="7"/>
      <c r="P64" s="7"/>
      <c r="Q64" s="7"/>
      <c r="U64" s="8">
        <f t="shared" si="1"/>
        <v>0.8</v>
      </c>
      <c r="V64" s="8">
        <f t="shared" si="2"/>
        <v>80</v>
      </c>
      <c r="W64" s="8" t="str">
        <f t="shared" si="3"/>
        <v/>
      </c>
      <c r="X64" s="8" t="str">
        <f t="shared" si="4"/>
        <v>#N/A</v>
      </c>
    </row>
    <row r="65">
      <c r="A65" s="4">
        <f t="shared" si="5"/>
        <v>64</v>
      </c>
      <c r="B65" s="4" t="s">
        <v>274</v>
      </c>
      <c r="C65" s="4" t="s">
        <v>274</v>
      </c>
      <c r="D65" s="4" t="s">
        <v>8</v>
      </c>
      <c r="E65" s="4" t="s">
        <v>102</v>
      </c>
      <c r="F65" s="5">
        <v>1.0</v>
      </c>
      <c r="G65" s="10">
        <v>1.0</v>
      </c>
      <c r="H65" s="7"/>
      <c r="I65" s="7"/>
      <c r="J65" s="7"/>
      <c r="K65" s="7"/>
      <c r="L65" s="7"/>
      <c r="M65" s="7"/>
      <c r="N65" s="7"/>
      <c r="O65" s="7"/>
      <c r="P65" s="7"/>
      <c r="Q65" s="7"/>
      <c r="U65" s="8">
        <f t="shared" si="1"/>
        <v>1</v>
      </c>
      <c r="V65" s="8">
        <f t="shared" si="2"/>
        <v>68</v>
      </c>
      <c r="W65" s="8" t="str">
        <f t="shared" si="3"/>
        <v/>
      </c>
      <c r="X65" s="8" t="str">
        <f t="shared" si="4"/>
        <v>#N/A</v>
      </c>
    </row>
    <row r="66">
      <c r="A66" s="4">
        <f t="shared" si="5"/>
        <v>65</v>
      </c>
      <c r="B66" s="4" t="s">
        <v>293</v>
      </c>
      <c r="C66" s="4" t="s">
        <v>285</v>
      </c>
      <c r="D66" s="4" t="s">
        <v>8</v>
      </c>
      <c r="E66" s="4" t="s">
        <v>420</v>
      </c>
      <c r="F66" s="5">
        <v>0.9</v>
      </c>
      <c r="G66" s="10">
        <v>1.0</v>
      </c>
      <c r="H66" s="7"/>
      <c r="I66" s="7"/>
      <c r="J66" s="7"/>
      <c r="K66" s="7"/>
      <c r="L66" s="7"/>
      <c r="M66" s="7"/>
      <c r="N66" s="7"/>
      <c r="O66" s="7"/>
      <c r="P66" s="7"/>
      <c r="Q66" s="7"/>
      <c r="U66" s="8">
        <f t="shared" si="1"/>
        <v>0.9</v>
      </c>
      <c r="V66" s="8">
        <f t="shared" si="2"/>
        <v>73</v>
      </c>
      <c r="W66" s="8" t="str">
        <f t="shared" si="3"/>
        <v/>
      </c>
      <c r="X66" s="8" t="str">
        <f t="shared" si="4"/>
        <v>#N/A</v>
      </c>
    </row>
    <row r="67">
      <c r="A67" s="4">
        <f t="shared" si="5"/>
        <v>66</v>
      </c>
      <c r="B67" s="4" t="s">
        <v>280</v>
      </c>
      <c r="C67" s="4" t="s">
        <v>273</v>
      </c>
      <c r="D67" s="4" t="s">
        <v>8</v>
      </c>
      <c r="E67" s="4" t="s">
        <v>186</v>
      </c>
      <c r="F67" s="5">
        <v>1.6</v>
      </c>
      <c r="G67" s="10">
        <v>1.0</v>
      </c>
      <c r="H67" s="7"/>
      <c r="I67" s="12"/>
      <c r="J67" s="7"/>
      <c r="K67" s="7"/>
      <c r="L67" s="7"/>
      <c r="M67" s="7"/>
      <c r="N67" s="7"/>
      <c r="O67" s="7"/>
      <c r="P67" s="7"/>
      <c r="Q67" s="7"/>
      <c r="U67" s="8">
        <f t="shared" si="1"/>
        <v>1.6</v>
      </c>
      <c r="V67" s="8">
        <f t="shared" si="2"/>
        <v>50</v>
      </c>
      <c r="W67" s="8" t="str">
        <f t="shared" si="3"/>
        <v/>
      </c>
      <c r="X67" s="8" t="str">
        <f t="shared" si="4"/>
        <v>#N/A</v>
      </c>
    </row>
    <row r="68">
      <c r="A68" s="4">
        <f t="shared" si="5"/>
        <v>67</v>
      </c>
      <c r="B68" s="4" t="s">
        <v>284</v>
      </c>
      <c r="C68" s="4" t="s">
        <v>288</v>
      </c>
      <c r="D68" s="4" t="s">
        <v>8</v>
      </c>
      <c r="E68" s="4" t="s">
        <v>95</v>
      </c>
      <c r="F68" s="5">
        <v>3.4</v>
      </c>
      <c r="G68" s="10">
        <v>3.0</v>
      </c>
      <c r="H68" s="7"/>
      <c r="I68" s="7"/>
      <c r="J68" s="7"/>
      <c r="K68" s="7"/>
      <c r="L68" s="7"/>
      <c r="M68" s="7"/>
      <c r="N68" s="7"/>
      <c r="O68" s="7"/>
      <c r="P68" s="7"/>
      <c r="Q68" s="7"/>
      <c r="U68" s="8">
        <f t="shared" si="1"/>
        <v>3.4</v>
      </c>
      <c r="V68" s="8">
        <f t="shared" si="2"/>
        <v>26</v>
      </c>
      <c r="W68" s="8" t="str">
        <f t="shared" si="3"/>
        <v/>
      </c>
      <c r="X68" s="8" t="str">
        <f t="shared" si="4"/>
        <v>#N/A</v>
      </c>
    </row>
    <row r="69">
      <c r="A69" s="4">
        <f t="shared" si="5"/>
        <v>68</v>
      </c>
      <c r="B69" s="4" t="s">
        <v>294</v>
      </c>
      <c r="C69" s="4" t="s">
        <v>273</v>
      </c>
      <c r="D69" s="4" t="s">
        <v>8</v>
      </c>
      <c r="E69" s="4" t="s">
        <v>523</v>
      </c>
      <c r="F69" s="5">
        <v>1.1</v>
      </c>
      <c r="G69" s="10">
        <v>2.0</v>
      </c>
      <c r="H69" s="7"/>
      <c r="I69" s="7"/>
      <c r="J69" s="7"/>
      <c r="K69" s="7"/>
      <c r="L69" s="7"/>
      <c r="M69" s="7"/>
      <c r="N69" s="7"/>
      <c r="O69" s="7"/>
      <c r="P69" s="7"/>
      <c r="Q69" s="7"/>
      <c r="U69" s="8">
        <f t="shared" si="1"/>
        <v>1.1</v>
      </c>
      <c r="V69" s="8">
        <f t="shared" si="2"/>
        <v>61</v>
      </c>
      <c r="W69" s="8" t="str">
        <f t="shared" si="3"/>
        <v/>
      </c>
      <c r="X69" s="8" t="str">
        <f t="shared" si="4"/>
        <v>#N/A</v>
      </c>
    </row>
    <row r="70">
      <c r="A70" s="4">
        <f t="shared" si="5"/>
        <v>69</v>
      </c>
      <c r="B70" s="4" t="s">
        <v>288</v>
      </c>
      <c r="C70" s="4" t="s">
        <v>287</v>
      </c>
      <c r="D70" s="4" t="s">
        <v>8</v>
      </c>
      <c r="E70" s="4" t="s">
        <v>399</v>
      </c>
      <c r="F70" s="5">
        <v>2.2</v>
      </c>
      <c r="G70" s="10">
        <v>1.0</v>
      </c>
      <c r="H70" s="7"/>
      <c r="I70" s="7"/>
      <c r="J70" s="7"/>
      <c r="K70" s="7"/>
      <c r="L70" s="7"/>
      <c r="M70" s="7"/>
      <c r="N70" s="7"/>
      <c r="O70" s="7"/>
      <c r="P70" s="7"/>
      <c r="Q70" s="7"/>
      <c r="U70" s="8">
        <f t="shared" si="1"/>
        <v>2.2</v>
      </c>
      <c r="V70" s="8">
        <f t="shared" si="2"/>
        <v>37</v>
      </c>
      <c r="W70" s="8" t="str">
        <f t="shared" si="3"/>
        <v/>
      </c>
      <c r="X70" s="8" t="str">
        <f t="shared" si="4"/>
        <v>#N/A</v>
      </c>
    </row>
    <row r="71">
      <c r="A71" s="4">
        <f t="shared" si="5"/>
        <v>70</v>
      </c>
      <c r="B71" s="4" t="s">
        <v>287</v>
      </c>
      <c r="C71" s="4" t="s">
        <v>287</v>
      </c>
      <c r="D71" s="4" t="s">
        <v>8</v>
      </c>
      <c r="E71" s="4" t="s">
        <v>330</v>
      </c>
      <c r="F71" s="5">
        <v>2.5</v>
      </c>
      <c r="G71" s="10">
        <v>2.0</v>
      </c>
      <c r="H71" s="7"/>
      <c r="I71" s="7"/>
      <c r="J71" s="7"/>
      <c r="K71" s="7"/>
      <c r="L71" s="7"/>
      <c r="M71" s="7"/>
      <c r="N71" s="7"/>
      <c r="O71" s="7"/>
      <c r="P71" s="7"/>
      <c r="Q71" s="7"/>
      <c r="U71" s="8">
        <f t="shared" si="1"/>
        <v>2.5</v>
      </c>
      <c r="V71" s="8">
        <f t="shared" si="2"/>
        <v>34</v>
      </c>
      <c r="W71" s="8" t="str">
        <f t="shared" si="3"/>
        <v/>
      </c>
      <c r="X71" s="8" t="str">
        <f t="shared" si="4"/>
        <v>#N/A</v>
      </c>
    </row>
    <row r="72">
      <c r="A72" s="4">
        <f t="shared" si="5"/>
        <v>71</v>
      </c>
      <c r="B72" s="4" t="s">
        <v>286</v>
      </c>
      <c r="C72" s="4" t="s">
        <v>284</v>
      </c>
      <c r="D72" s="4" t="s">
        <v>8</v>
      </c>
      <c r="E72" s="4" t="s">
        <v>322</v>
      </c>
      <c r="F72" s="5">
        <v>1.5</v>
      </c>
      <c r="G72" s="10">
        <v>1.0</v>
      </c>
      <c r="H72" s="7"/>
      <c r="I72" s="7"/>
      <c r="J72" s="7"/>
      <c r="K72" s="7"/>
      <c r="L72" s="7"/>
      <c r="M72" s="7"/>
      <c r="N72" s="7"/>
      <c r="O72" s="7"/>
      <c r="P72" s="7"/>
      <c r="Q72" s="7"/>
      <c r="U72" s="8">
        <f t="shared" si="1"/>
        <v>1.5</v>
      </c>
      <c r="V72" s="8">
        <f t="shared" si="2"/>
        <v>53</v>
      </c>
      <c r="W72" s="8" t="str">
        <f t="shared" si="3"/>
        <v/>
      </c>
      <c r="X72" s="8" t="str">
        <f t="shared" si="4"/>
        <v>#N/A</v>
      </c>
    </row>
    <row r="73">
      <c r="A73" s="4">
        <f t="shared" si="5"/>
        <v>72</v>
      </c>
      <c r="B73" s="4" t="s">
        <v>281</v>
      </c>
      <c r="C73" s="4" t="s">
        <v>293</v>
      </c>
      <c r="D73" s="4" t="s">
        <v>8</v>
      </c>
      <c r="E73" s="4" t="s">
        <v>298</v>
      </c>
      <c r="F73" s="5">
        <v>2.0</v>
      </c>
      <c r="G73" s="10">
        <v>1.0</v>
      </c>
      <c r="H73" s="7"/>
      <c r="I73" s="7"/>
      <c r="J73" s="7"/>
      <c r="K73" s="7"/>
      <c r="L73" s="7"/>
      <c r="M73" s="7"/>
      <c r="N73" s="7"/>
      <c r="O73" s="7"/>
      <c r="P73" s="7"/>
      <c r="Q73" s="7"/>
      <c r="U73" s="8">
        <f t="shared" si="1"/>
        <v>2</v>
      </c>
      <c r="V73" s="8">
        <f t="shared" si="2"/>
        <v>39</v>
      </c>
      <c r="W73" s="8" t="str">
        <f t="shared" si="3"/>
        <v/>
      </c>
      <c r="X73" s="8" t="str">
        <f t="shared" si="4"/>
        <v>#N/A</v>
      </c>
    </row>
    <row r="74">
      <c r="A74" s="4">
        <f t="shared" si="5"/>
        <v>73</v>
      </c>
      <c r="B74" s="4" t="s">
        <v>285</v>
      </c>
      <c r="C74" s="4" t="s">
        <v>293</v>
      </c>
      <c r="D74" s="4" t="s">
        <v>8</v>
      </c>
      <c r="E74" s="4" t="s">
        <v>524</v>
      </c>
      <c r="F74" s="5">
        <v>1.7</v>
      </c>
      <c r="G74" s="10">
        <v>4.0</v>
      </c>
      <c r="H74" s="7"/>
      <c r="I74" s="7"/>
      <c r="J74" s="7"/>
      <c r="K74" s="7"/>
      <c r="L74" s="7"/>
      <c r="M74" s="7"/>
      <c r="N74" s="7"/>
      <c r="O74" s="7"/>
      <c r="P74" s="7"/>
      <c r="Q74" s="7"/>
      <c r="U74" s="8">
        <f t="shared" si="1"/>
        <v>1.7</v>
      </c>
      <c r="V74" s="8">
        <f t="shared" si="2"/>
        <v>48</v>
      </c>
      <c r="W74" s="8" t="str">
        <f t="shared" si="3"/>
        <v/>
      </c>
      <c r="X74" s="8" t="str">
        <f t="shared" si="4"/>
        <v>#N/A</v>
      </c>
    </row>
    <row r="75">
      <c r="A75" s="4">
        <f t="shared" si="5"/>
        <v>74</v>
      </c>
      <c r="B75" s="4" t="s">
        <v>273</v>
      </c>
      <c r="C75" s="4" t="s">
        <v>284</v>
      </c>
      <c r="D75" s="4" t="s">
        <v>8</v>
      </c>
      <c r="E75" s="4" t="s">
        <v>268</v>
      </c>
      <c r="F75" s="5">
        <v>1.1</v>
      </c>
      <c r="G75" s="10">
        <v>1.0</v>
      </c>
      <c r="H75" s="7"/>
      <c r="I75" s="7"/>
      <c r="J75" s="7"/>
      <c r="K75" s="7"/>
      <c r="L75" s="7"/>
      <c r="M75" s="7"/>
      <c r="N75" s="7"/>
      <c r="O75" s="7"/>
      <c r="P75" s="7"/>
      <c r="Q75" s="7"/>
      <c r="U75" s="8">
        <f t="shared" si="1"/>
        <v>1.1</v>
      </c>
      <c r="V75" s="8">
        <f t="shared" si="2"/>
        <v>61</v>
      </c>
      <c r="W75" s="8" t="str">
        <f t="shared" si="3"/>
        <v/>
      </c>
      <c r="X75" s="8" t="str">
        <f t="shared" si="4"/>
        <v>#N/A</v>
      </c>
    </row>
    <row r="76">
      <c r="A76" s="4">
        <f t="shared" si="5"/>
        <v>75</v>
      </c>
      <c r="B76" s="4" t="s">
        <v>274</v>
      </c>
      <c r="C76" s="4" t="s">
        <v>273</v>
      </c>
      <c r="D76" s="4" t="s">
        <v>8</v>
      </c>
      <c r="E76" s="4" t="s">
        <v>104</v>
      </c>
      <c r="F76" s="5">
        <v>2.0</v>
      </c>
      <c r="G76" s="10">
        <v>1.0</v>
      </c>
      <c r="H76" s="7"/>
      <c r="I76" s="7"/>
      <c r="J76" s="7"/>
      <c r="K76" s="7"/>
      <c r="L76" s="7"/>
      <c r="M76" s="7"/>
      <c r="N76" s="7"/>
      <c r="O76" s="7"/>
      <c r="P76" s="7"/>
      <c r="Q76" s="7"/>
      <c r="U76" s="8">
        <f t="shared" si="1"/>
        <v>2</v>
      </c>
      <c r="V76" s="8">
        <f t="shared" si="2"/>
        <v>39</v>
      </c>
      <c r="W76" s="8" t="str">
        <f t="shared" si="3"/>
        <v/>
      </c>
      <c r="X76" s="8" t="str">
        <f t="shared" si="4"/>
        <v>#N/A</v>
      </c>
    </row>
    <row r="77">
      <c r="A77" s="4">
        <f t="shared" si="5"/>
        <v>76</v>
      </c>
      <c r="B77" s="4" t="s">
        <v>293</v>
      </c>
      <c r="C77" s="4" t="s">
        <v>286</v>
      </c>
      <c r="D77" s="4" t="s">
        <v>8</v>
      </c>
      <c r="E77" s="4" t="s">
        <v>490</v>
      </c>
      <c r="F77" s="5">
        <v>0.8</v>
      </c>
      <c r="G77" s="10">
        <v>1.0</v>
      </c>
      <c r="H77" s="7"/>
      <c r="I77" s="7"/>
      <c r="J77" s="7"/>
      <c r="K77" s="7"/>
      <c r="L77" s="7"/>
      <c r="M77" s="7"/>
      <c r="N77" s="7"/>
      <c r="O77" s="7"/>
      <c r="P77" s="7"/>
      <c r="Q77" s="7"/>
      <c r="U77" s="8">
        <f t="shared" si="1"/>
        <v>0.8</v>
      </c>
      <c r="V77" s="8">
        <f t="shared" si="2"/>
        <v>80</v>
      </c>
      <c r="W77" s="8" t="str">
        <f t="shared" si="3"/>
        <v/>
      </c>
      <c r="X77" s="8" t="str">
        <f t="shared" si="4"/>
        <v>#N/A</v>
      </c>
    </row>
    <row r="78">
      <c r="A78" s="4">
        <f t="shared" si="5"/>
        <v>77</v>
      </c>
      <c r="B78" s="4" t="s">
        <v>280</v>
      </c>
      <c r="C78" s="4" t="s">
        <v>285</v>
      </c>
      <c r="D78" s="4" t="s">
        <v>8</v>
      </c>
      <c r="E78" s="4" t="s">
        <v>477</v>
      </c>
      <c r="F78" s="5">
        <v>1.1</v>
      </c>
      <c r="G78" s="10">
        <v>1.0</v>
      </c>
      <c r="H78" s="7"/>
      <c r="I78" s="7"/>
      <c r="J78" s="7"/>
      <c r="K78" s="7"/>
      <c r="L78" s="7"/>
      <c r="M78" s="7"/>
      <c r="N78" s="7"/>
      <c r="O78" s="7"/>
      <c r="P78" s="7"/>
      <c r="Q78" s="7"/>
      <c r="U78" s="8">
        <f t="shared" si="1"/>
        <v>1.1</v>
      </c>
      <c r="V78" s="8">
        <f t="shared" si="2"/>
        <v>61</v>
      </c>
      <c r="W78" s="8" t="str">
        <f t="shared" si="3"/>
        <v/>
      </c>
      <c r="X78" s="8" t="str">
        <f t="shared" si="4"/>
        <v>#N/A</v>
      </c>
    </row>
    <row r="79">
      <c r="A79" s="4">
        <f t="shared" si="5"/>
        <v>78</v>
      </c>
      <c r="B79" s="4" t="s">
        <v>284</v>
      </c>
      <c r="C79" s="4" t="s">
        <v>273</v>
      </c>
      <c r="D79" s="4" t="s">
        <v>8</v>
      </c>
      <c r="E79" s="4" t="s">
        <v>525</v>
      </c>
      <c r="F79" s="5">
        <v>3.4</v>
      </c>
      <c r="G79" s="10">
        <v>1.0</v>
      </c>
      <c r="H79" s="7"/>
      <c r="I79" s="7"/>
      <c r="J79" s="7"/>
      <c r="K79" s="7"/>
      <c r="L79" s="7"/>
      <c r="M79" s="7"/>
      <c r="N79" s="7"/>
      <c r="O79" s="7"/>
      <c r="P79" s="7"/>
      <c r="Q79" s="7"/>
      <c r="U79" s="8">
        <f t="shared" si="1"/>
        <v>3.4</v>
      </c>
      <c r="V79" s="8">
        <f t="shared" si="2"/>
        <v>26</v>
      </c>
      <c r="W79" s="8" t="str">
        <f t="shared" si="3"/>
        <v/>
      </c>
      <c r="X79" s="8" t="str">
        <f t="shared" si="4"/>
        <v>#N/A</v>
      </c>
    </row>
    <row r="80">
      <c r="A80" s="4">
        <f t="shared" si="5"/>
        <v>79</v>
      </c>
      <c r="B80" s="4" t="s">
        <v>294</v>
      </c>
      <c r="C80" s="4" t="s">
        <v>274</v>
      </c>
      <c r="D80" s="4" t="s">
        <v>8</v>
      </c>
      <c r="E80" s="4" t="s">
        <v>499</v>
      </c>
      <c r="F80" s="5">
        <v>0.9</v>
      </c>
      <c r="G80" s="10">
        <v>1.0</v>
      </c>
      <c r="H80" s="7"/>
      <c r="I80" s="7"/>
      <c r="J80" s="7"/>
      <c r="K80" s="7"/>
      <c r="L80" s="7"/>
      <c r="M80" s="7"/>
      <c r="N80" s="7"/>
      <c r="O80" s="7"/>
      <c r="P80" s="7"/>
      <c r="Q80" s="7"/>
      <c r="U80" s="8">
        <f t="shared" si="1"/>
        <v>0.9</v>
      </c>
      <c r="V80" s="8">
        <f t="shared" si="2"/>
        <v>73</v>
      </c>
      <c r="W80" s="8" t="str">
        <f t="shared" si="3"/>
        <v/>
      </c>
      <c r="X80" s="8" t="str">
        <f t="shared" si="4"/>
        <v>#N/A</v>
      </c>
    </row>
    <row r="81">
      <c r="A81" s="4">
        <f t="shared" si="5"/>
        <v>80</v>
      </c>
      <c r="B81" s="4" t="s">
        <v>288</v>
      </c>
      <c r="C81" s="4" t="s">
        <v>285</v>
      </c>
      <c r="D81" s="4" t="s">
        <v>8</v>
      </c>
      <c r="E81" s="4" t="s">
        <v>405</v>
      </c>
      <c r="F81" s="5">
        <v>1.6</v>
      </c>
      <c r="G81" s="10">
        <v>1.0</v>
      </c>
      <c r="H81" s="7"/>
      <c r="I81" s="7"/>
      <c r="J81" s="7"/>
      <c r="K81" s="7"/>
      <c r="L81" s="7"/>
      <c r="M81" s="7"/>
      <c r="N81" s="7"/>
      <c r="O81" s="7"/>
      <c r="P81" s="7"/>
      <c r="Q81" s="7"/>
      <c r="U81" s="8">
        <f t="shared" si="1"/>
        <v>1.6</v>
      </c>
      <c r="V81" s="8">
        <f t="shared" si="2"/>
        <v>50</v>
      </c>
      <c r="W81" s="8" t="str">
        <f t="shared" si="3"/>
        <v/>
      </c>
      <c r="X81" s="8" t="str">
        <f t="shared" si="4"/>
        <v>#N/A</v>
      </c>
    </row>
    <row r="82">
      <c r="A82" s="4">
        <f t="shared" si="5"/>
        <v>81</v>
      </c>
      <c r="B82" s="4" t="s">
        <v>287</v>
      </c>
      <c r="C82" s="4" t="s">
        <v>287</v>
      </c>
      <c r="D82" s="4" t="s">
        <v>8</v>
      </c>
      <c r="E82" s="4" t="s">
        <v>315</v>
      </c>
      <c r="F82" s="5">
        <v>0.7</v>
      </c>
      <c r="G82" s="10">
        <v>4.0</v>
      </c>
      <c r="H82" s="7"/>
      <c r="I82" s="7"/>
      <c r="J82" s="7"/>
      <c r="K82" s="7"/>
      <c r="L82" s="7"/>
      <c r="M82" s="7"/>
      <c r="N82" s="7"/>
      <c r="O82" s="7"/>
      <c r="P82" s="7"/>
      <c r="Q82" s="7"/>
      <c r="U82" s="8">
        <f t="shared" si="1"/>
        <v>0.7</v>
      </c>
      <c r="V82" s="8">
        <f t="shared" si="2"/>
        <v>87</v>
      </c>
      <c r="W82" s="8" t="str">
        <f t="shared" si="3"/>
        <v/>
      </c>
      <c r="X82" s="8" t="str">
        <f t="shared" si="4"/>
        <v>#N/A</v>
      </c>
    </row>
    <row r="83">
      <c r="A83" s="4">
        <f t="shared" si="5"/>
        <v>82</v>
      </c>
      <c r="B83" s="4" t="s">
        <v>286</v>
      </c>
      <c r="C83" s="4" t="s">
        <v>273</v>
      </c>
      <c r="D83" s="4" t="s">
        <v>8</v>
      </c>
      <c r="E83" s="4" t="s">
        <v>469</v>
      </c>
      <c r="F83" s="5">
        <v>1.0</v>
      </c>
      <c r="G83" s="10">
        <v>1.0</v>
      </c>
      <c r="H83" s="7"/>
      <c r="I83" s="7"/>
      <c r="J83" s="7"/>
      <c r="K83" s="7"/>
      <c r="L83" s="7"/>
      <c r="M83" s="7"/>
      <c r="N83" s="7"/>
      <c r="O83" s="7"/>
      <c r="P83" s="7"/>
      <c r="Q83" s="7"/>
      <c r="U83" s="8">
        <f t="shared" si="1"/>
        <v>1</v>
      </c>
      <c r="V83" s="8">
        <f t="shared" si="2"/>
        <v>68</v>
      </c>
      <c r="W83" s="8" t="str">
        <f t="shared" si="3"/>
        <v/>
      </c>
      <c r="X83" s="8" t="str">
        <f t="shared" si="4"/>
        <v>#N/A</v>
      </c>
    </row>
    <row r="84">
      <c r="A84" s="4">
        <f t="shared" si="5"/>
        <v>83</v>
      </c>
      <c r="B84" s="4" t="s">
        <v>281</v>
      </c>
      <c r="C84" s="4" t="s">
        <v>285</v>
      </c>
      <c r="D84" s="4" t="s">
        <v>8</v>
      </c>
      <c r="E84" s="4" t="s">
        <v>388</v>
      </c>
      <c r="F84" s="5">
        <v>2.4</v>
      </c>
      <c r="G84" s="10">
        <v>1.0</v>
      </c>
      <c r="H84" s="7"/>
      <c r="I84" s="7"/>
      <c r="J84" s="7"/>
      <c r="K84" s="7"/>
      <c r="L84" s="7"/>
      <c r="M84" s="7"/>
      <c r="N84" s="7"/>
      <c r="O84" s="7"/>
      <c r="P84" s="7"/>
      <c r="Q84" s="7"/>
      <c r="U84" s="8">
        <f t="shared" si="1"/>
        <v>2.4</v>
      </c>
      <c r="V84" s="8">
        <f t="shared" si="2"/>
        <v>35</v>
      </c>
      <c r="W84" s="8" t="str">
        <f t="shared" si="3"/>
        <v/>
      </c>
      <c r="X84" s="8" t="str">
        <f t="shared" si="4"/>
        <v>#N/A</v>
      </c>
    </row>
    <row r="85">
      <c r="A85" s="4">
        <f t="shared" si="5"/>
        <v>84</v>
      </c>
      <c r="B85" s="4" t="s">
        <v>285</v>
      </c>
      <c r="C85" s="4" t="s">
        <v>274</v>
      </c>
      <c r="D85" s="4" t="s">
        <v>8</v>
      </c>
      <c r="E85" s="4" t="s">
        <v>70</v>
      </c>
      <c r="F85" s="5">
        <v>1.3</v>
      </c>
      <c r="G85" s="10">
        <v>1.0</v>
      </c>
      <c r="H85" s="7"/>
      <c r="I85" s="7"/>
      <c r="J85" s="7"/>
      <c r="K85" s="7"/>
      <c r="L85" s="7"/>
      <c r="M85" s="7"/>
      <c r="N85" s="7"/>
      <c r="O85" s="7"/>
      <c r="P85" s="7"/>
      <c r="Q85" s="7"/>
      <c r="U85" s="8">
        <f t="shared" si="1"/>
        <v>1.3</v>
      </c>
      <c r="V85" s="8">
        <f t="shared" si="2"/>
        <v>56</v>
      </c>
      <c r="W85" s="8" t="str">
        <f t="shared" si="3"/>
        <v/>
      </c>
      <c r="X85" s="8" t="str">
        <f t="shared" si="4"/>
        <v>#N/A</v>
      </c>
    </row>
    <row r="86">
      <c r="A86" s="4">
        <f t="shared" si="5"/>
        <v>85</v>
      </c>
      <c r="B86" s="4" t="s">
        <v>273</v>
      </c>
      <c r="C86" s="4" t="s">
        <v>288</v>
      </c>
      <c r="D86" s="4" t="s">
        <v>8</v>
      </c>
      <c r="E86" s="4" t="s">
        <v>348</v>
      </c>
      <c r="F86" s="5">
        <v>1.1</v>
      </c>
      <c r="G86" s="10">
        <v>1.0</v>
      </c>
      <c r="H86" s="7"/>
      <c r="I86" s="7"/>
      <c r="J86" s="7"/>
      <c r="K86" s="7"/>
      <c r="L86" s="7"/>
      <c r="M86" s="7"/>
      <c r="N86" s="7"/>
      <c r="O86" s="7"/>
      <c r="P86" s="7"/>
      <c r="Q86" s="7"/>
      <c r="U86" s="8">
        <f t="shared" si="1"/>
        <v>1.1</v>
      </c>
      <c r="V86" s="8">
        <f t="shared" si="2"/>
        <v>61</v>
      </c>
      <c r="W86" s="8" t="str">
        <f t="shared" si="3"/>
        <v/>
      </c>
      <c r="X86" s="8" t="str">
        <f t="shared" si="4"/>
        <v>#N/A</v>
      </c>
    </row>
    <row r="87">
      <c r="A87" s="4">
        <f t="shared" si="5"/>
        <v>86</v>
      </c>
      <c r="B87" s="4" t="s">
        <v>274</v>
      </c>
      <c r="C87" s="4" t="s">
        <v>274</v>
      </c>
      <c r="D87" s="4" t="s">
        <v>8</v>
      </c>
      <c r="E87" s="4" t="s">
        <v>257</v>
      </c>
      <c r="F87" s="5">
        <v>0.9</v>
      </c>
      <c r="G87" s="10">
        <v>1.0</v>
      </c>
      <c r="H87" s="7"/>
      <c r="I87" s="7"/>
      <c r="J87" s="7"/>
      <c r="K87" s="7"/>
      <c r="L87" s="7"/>
      <c r="M87" s="7"/>
      <c r="N87" s="7"/>
      <c r="O87" s="7"/>
      <c r="P87" s="7"/>
      <c r="Q87" s="7"/>
      <c r="U87" s="8">
        <f t="shared" si="1"/>
        <v>0.9</v>
      </c>
      <c r="V87" s="8">
        <f t="shared" si="2"/>
        <v>73</v>
      </c>
      <c r="W87" s="8" t="str">
        <f t="shared" si="3"/>
        <v/>
      </c>
      <c r="X87" s="8" t="str">
        <f t="shared" si="4"/>
        <v>#N/A</v>
      </c>
    </row>
    <row r="88">
      <c r="A88" s="4">
        <f t="shared" si="5"/>
        <v>87</v>
      </c>
      <c r="B88" s="4" t="s">
        <v>293</v>
      </c>
      <c r="C88" s="4" t="s">
        <v>285</v>
      </c>
      <c r="D88" s="4" t="s">
        <v>8</v>
      </c>
      <c r="E88" s="4" t="s">
        <v>144</v>
      </c>
      <c r="F88" s="5">
        <v>2.4</v>
      </c>
      <c r="G88" s="10">
        <v>1.0</v>
      </c>
      <c r="H88" s="7"/>
      <c r="I88" s="7"/>
      <c r="J88" s="7"/>
      <c r="K88" s="7"/>
      <c r="L88" s="7"/>
      <c r="M88" s="7"/>
      <c r="N88" s="7"/>
      <c r="O88" s="7"/>
      <c r="P88" s="7"/>
      <c r="Q88" s="7"/>
      <c r="U88" s="8">
        <f t="shared" si="1"/>
        <v>2.4</v>
      </c>
      <c r="V88" s="8">
        <f t="shared" si="2"/>
        <v>35</v>
      </c>
      <c r="W88" s="8" t="str">
        <f t="shared" si="3"/>
        <v/>
      </c>
      <c r="X88" s="8" t="str">
        <f t="shared" si="4"/>
        <v>#N/A</v>
      </c>
    </row>
    <row r="89">
      <c r="A89" s="4">
        <f t="shared" si="5"/>
        <v>88</v>
      </c>
      <c r="B89" s="4" t="s">
        <v>280</v>
      </c>
      <c r="C89" s="4" t="s">
        <v>284</v>
      </c>
      <c r="D89" s="4" t="s">
        <v>8</v>
      </c>
      <c r="E89" s="4" t="s">
        <v>455</v>
      </c>
      <c r="F89" s="5">
        <v>1.1</v>
      </c>
      <c r="G89" s="10">
        <v>1.0</v>
      </c>
      <c r="H89" s="7"/>
      <c r="I89" s="7"/>
      <c r="J89" s="7"/>
      <c r="K89" s="7"/>
      <c r="L89" s="7"/>
      <c r="M89" s="7"/>
      <c r="N89" s="7"/>
      <c r="O89" s="7"/>
      <c r="P89" s="7"/>
      <c r="Q89" s="7"/>
      <c r="U89" s="8">
        <f t="shared" si="1"/>
        <v>1.1</v>
      </c>
      <c r="V89" s="8">
        <f t="shared" si="2"/>
        <v>61</v>
      </c>
      <c r="W89" s="8" t="str">
        <f t="shared" si="3"/>
        <v/>
      </c>
      <c r="X89" s="8" t="str">
        <f t="shared" si="4"/>
        <v>#N/A</v>
      </c>
    </row>
    <row r="90">
      <c r="A90" s="4">
        <f t="shared" si="5"/>
        <v>89</v>
      </c>
      <c r="B90" s="4" t="s">
        <v>284</v>
      </c>
      <c r="C90" s="4" t="s">
        <v>294</v>
      </c>
      <c r="D90" s="4" t="s">
        <v>8</v>
      </c>
      <c r="E90" s="4" t="s">
        <v>240</v>
      </c>
      <c r="F90" s="5">
        <v>1.4</v>
      </c>
      <c r="G90" s="10">
        <v>2.0</v>
      </c>
      <c r="H90" s="7"/>
      <c r="I90" s="7"/>
      <c r="J90" s="7"/>
      <c r="K90" s="7"/>
      <c r="L90" s="7"/>
      <c r="M90" s="7"/>
      <c r="N90" s="7"/>
      <c r="O90" s="7"/>
      <c r="P90" s="7"/>
      <c r="Q90" s="7"/>
      <c r="U90" s="8">
        <f t="shared" si="1"/>
        <v>1.4</v>
      </c>
      <c r="V90" s="8">
        <f t="shared" si="2"/>
        <v>55</v>
      </c>
      <c r="W90" s="8" t="str">
        <f t="shared" si="3"/>
        <v/>
      </c>
      <c r="X90" s="8" t="str">
        <f t="shared" si="4"/>
        <v>#N/A</v>
      </c>
    </row>
    <row r="91">
      <c r="A91" s="4">
        <f t="shared" si="5"/>
        <v>90</v>
      </c>
      <c r="B91" s="4" t="s">
        <v>294</v>
      </c>
      <c r="C91" s="4" t="s">
        <v>288</v>
      </c>
      <c r="D91" s="4" t="s">
        <v>8</v>
      </c>
      <c r="E91" s="4" t="s">
        <v>526</v>
      </c>
      <c r="F91" s="5">
        <v>2.1</v>
      </c>
      <c r="G91" s="10">
        <v>3.0</v>
      </c>
      <c r="H91" s="7"/>
      <c r="I91" s="7"/>
      <c r="J91" s="7"/>
      <c r="K91" s="7"/>
      <c r="L91" s="7"/>
      <c r="M91" s="7"/>
      <c r="N91" s="7"/>
      <c r="O91" s="7"/>
      <c r="P91" s="7"/>
      <c r="Q91" s="7"/>
      <c r="U91" s="8">
        <f t="shared" si="1"/>
        <v>2.1</v>
      </c>
      <c r="V91" s="8">
        <f t="shared" si="2"/>
        <v>38</v>
      </c>
      <c r="W91" s="8" t="str">
        <f t="shared" si="3"/>
        <v/>
      </c>
      <c r="X91" s="8" t="str">
        <f t="shared" si="4"/>
        <v>#N/A</v>
      </c>
    </row>
    <row r="92">
      <c r="A92" s="4">
        <f t="shared" si="5"/>
        <v>91</v>
      </c>
      <c r="B92" s="4" t="s">
        <v>288</v>
      </c>
      <c r="C92" s="4" t="s">
        <v>274</v>
      </c>
      <c r="D92" s="4" t="s">
        <v>8</v>
      </c>
      <c r="E92" s="4" t="s">
        <v>419</v>
      </c>
      <c r="F92" s="5">
        <v>0.9</v>
      </c>
      <c r="G92" s="10">
        <v>1.0</v>
      </c>
      <c r="H92" s="7"/>
      <c r="I92" s="7"/>
      <c r="J92" s="7"/>
      <c r="K92" s="7"/>
      <c r="L92" s="7"/>
      <c r="M92" s="7"/>
      <c r="N92" s="7"/>
      <c r="O92" s="7"/>
      <c r="P92" s="7"/>
      <c r="Q92" s="7"/>
      <c r="U92" s="8">
        <f t="shared" si="1"/>
        <v>0.9</v>
      </c>
      <c r="V92" s="8">
        <f t="shared" si="2"/>
        <v>73</v>
      </c>
      <c r="W92" s="8" t="str">
        <f t="shared" si="3"/>
        <v/>
      </c>
      <c r="X92" s="8" t="str">
        <f t="shared" si="4"/>
        <v>#N/A</v>
      </c>
    </row>
    <row r="93">
      <c r="A93" s="4">
        <f t="shared" si="5"/>
        <v>92</v>
      </c>
      <c r="B93" s="4" t="s">
        <v>287</v>
      </c>
      <c r="C93" s="4" t="s">
        <v>287</v>
      </c>
      <c r="D93" s="4" t="s">
        <v>8</v>
      </c>
      <c r="E93" s="4" t="s">
        <v>255</v>
      </c>
      <c r="F93" s="5">
        <v>1.9</v>
      </c>
      <c r="G93" s="10">
        <v>1.0</v>
      </c>
      <c r="H93" s="7"/>
      <c r="I93" s="7"/>
      <c r="J93" s="7"/>
      <c r="K93" s="7"/>
      <c r="L93" s="7"/>
      <c r="M93" s="7"/>
      <c r="N93" s="7"/>
      <c r="O93" s="7"/>
      <c r="P93" s="7"/>
      <c r="Q93" s="7"/>
      <c r="U93" s="8">
        <f t="shared" si="1"/>
        <v>1.9</v>
      </c>
      <c r="V93" s="8">
        <f t="shared" si="2"/>
        <v>43</v>
      </c>
      <c r="W93" s="8" t="str">
        <f t="shared" si="3"/>
        <v/>
      </c>
      <c r="X93" s="8" t="str">
        <f t="shared" si="4"/>
        <v>#N/A</v>
      </c>
    </row>
    <row r="94">
      <c r="A94" s="4">
        <f t="shared" si="5"/>
        <v>93</v>
      </c>
      <c r="B94" s="4" t="s">
        <v>286</v>
      </c>
      <c r="C94" s="4" t="s">
        <v>274</v>
      </c>
      <c r="D94" s="4" t="s">
        <v>8</v>
      </c>
      <c r="E94" s="4" t="s">
        <v>486</v>
      </c>
      <c r="F94" s="5">
        <v>0.9</v>
      </c>
      <c r="G94" s="10">
        <v>1.0</v>
      </c>
      <c r="H94" s="7"/>
      <c r="I94" s="7"/>
      <c r="J94" s="7"/>
      <c r="K94" s="7"/>
      <c r="L94" s="7"/>
      <c r="M94" s="7"/>
      <c r="N94" s="7"/>
      <c r="O94" s="7"/>
      <c r="P94" s="7"/>
      <c r="Q94" s="7"/>
      <c r="U94" s="8">
        <f t="shared" si="1"/>
        <v>0.9</v>
      </c>
      <c r="V94" s="8">
        <f t="shared" si="2"/>
        <v>73</v>
      </c>
      <c r="W94" s="8" t="str">
        <f t="shared" si="3"/>
        <v/>
      </c>
      <c r="X94" s="8" t="str">
        <f t="shared" si="4"/>
        <v>#N/A</v>
      </c>
    </row>
    <row r="95">
      <c r="A95" s="4">
        <f t="shared" si="5"/>
        <v>94</v>
      </c>
      <c r="B95" s="4" t="s">
        <v>281</v>
      </c>
      <c r="C95" s="4" t="s">
        <v>294</v>
      </c>
      <c r="D95" s="4" t="s">
        <v>8</v>
      </c>
      <c r="E95" s="4" t="s">
        <v>397</v>
      </c>
      <c r="F95" s="5">
        <v>1.3</v>
      </c>
      <c r="G95" s="10">
        <v>1.0</v>
      </c>
      <c r="H95" s="7"/>
      <c r="I95" s="7"/>
      <c r="J95" s="7"/>
      <c r="K95" s="7"/>
      <c r="L95" s="7"/>
      <c r="M95" s="7"/>
      <c r="N95" s="7"/>
      <c r="O95" s="7"/>
      <c r="P95" s="7"/>
      <c r="Q95" s="7"/>
      <c r="U95" s="8">
        <f t="shared" si="1"/>
        <v>1.3</v>
      </c>
      <c r="V95" s="8">
        <f t="shared" si="2"/>
        <v>56</v>
      </c>
      <c r="W95" s="8" t="str">
        <f t="shared" si="3"/>
        <v/>
      </c>
      <c r="X95" s="8" t="str">
        <f t="shared" si="4"/>
        <v>#N/A</v>
      </c>
    </row>
    <row r="96">
      <c r="A96" s="4">
        <f t="shared" si="5"/>
        <v>95</v>
      </c>
      <c r="B96" s="4" t="s">
        <v>285</v>
      </c>
      <c r="C96" s="4" t="s">
        <v>293</v>
      </c>
      <c r="D96" s="4" t="s">
        <v>8</v>
      </c>
      <c r="E96" s="4" t="s">
        <v>527</v>
      </c>
      <c r="F96" s="5">
        <v>0.7</v>
      </c>
      <c r="G96" s="10">
        <v>2.0</v>
      </c>
      <c r="H96" s="7"/>
      <c r="I96" s="7"/>
      <c r="J96" s="7"/>
      <c r="K96" s="7"/>
      <c r="L96" s="7"/>
      <c r="M96" s="7"/>
      <c r="N96" s="7"/>
      <c r="O96" s="7"/>
      <c r="P96" s="7"/>
      <c r="Q96" s="7"/>
      <c r="U96" s="8">
        <f t="shared" si="1"/>
        <v>0.7</v>
      </c>
      <c r="V96" s="8">
        <f t="shared" si="2"/>
        <v>87</v>
      </c>
      <c r="W96" s="8" t="str">
        <f t="shared" si="3"/>
        <v/>
      </c>
      <c r="X96" s="8" t="str">
        <f t="shared" si="4"/>
        <v>#N/A</v>
      </c>
    </row>
    <row r="97">
      <c r="A97" s="4">
        <f t="shared" si="5"/>
        <v>96</v>
      </c>
      <c r="B97" s="4" t="s">
        <v>273</v>
      </c>
      <c r="C97" s="4" t="s">
        <v>294</v>
      </c>
      <c r="D97" s="4" t="s">
        <v>8</v>
      </c>
      <c r="E97" s="4" t="s">
        <v>416</v>
      </c>
      <c r="F97" s="5">
        <v>1.1</v>
      </c>
      <c r="G97" s="10">
        <v>1.0</v>
      </c>
      <c r="H97" s="7"/>
      <c r="I97" s="7"/>
      <c r="J97" s="7"/>
      <c r="K97" s="7"/>
      <c r="L97" s="7"/>
      <c r="M97" s="7"/>
      <c r="N97" s="7"/>
      <c r="O97" s="7"/>
      <c r="P97" s="7"/>
      <c r="Q97" s="7"/>
      <c r="U97" s="8">
        <f t="shared" si="1"/>
        <v>1.1</v>
      </c>
      <c r="V97" s="8">
        <f t="shared" si="2"/>
        <v>61</v>
      </c>
      <c r="W97" s="8" t="str">
        <f t="shared" si="3"/>
        <v/>
      </c>
      <c r="X97" s="8" t="str">
        <f t="shared" si="4"/>
        <v>#N/A</v>
      </c>
    </row>
    <row r="98">
      <c r="A98" s="4">
        <f t="shared" si="5"/>
        <v>97</v>
      </c>
      <c r="B98" s="4" t="s">
        <v>274</v>
      </c>
      <c r="C98" s="4" t="s">
        <v>284</v>
      </c>
      <c r="D98" s="4" t="s">
        <v>8</v>
      </c>
      <c r="E98" s="4" t="s">
        <v>421</v>
      </c>
      <c r="F98" s="5">
        <v>1.3</v>
      </c>
      <c r="G98" s="10">
        <v>1.0</v>
      </c>
      <c r="H98" s="7"/>
      <c r="I98" s="7"/>
      <c r="J98" s="7"/>
      <c r="K98" s="7"/>
      <c r="L98" s="7"/>
      <c r="M98" s="7"/>
      <c r="N98" s="7"/>
      <c r="O98" s="7"/>
      <c r="P98" s="7"/>
      <c r="Q98" s="7"/>
      <c r="U98" s="8">
        <f t="shared" si="1"/>
        <v>1.3</v>
      </c>
      <c r="V98" s="8">
        <f t="shared" si="2"/>
        <v>56</v>
      </c>
      <c r="W98" s="8" t="str">
        <f t="shared" si="3"/>
        <v/>
      </c>
      <c r="X98" s="8" t="str">
        <f t="shared" si="4"/>
        <v>#N/A</v>
      </c>
    </row>
    <row r="99">
      <c r="A99" s="4">
        <f t="shared" si="5"/>
        <v>98</v>
      </c>
      <c r="B99" s="4" t="s">
        <v>293</v>
      </c>
      <c r="C99" s="4" t="s">
        <v>294</v>
      </c>
      <c r="D99" s="4" t="s">
        <v>8</v>
      </c>
      <c r="E99" s="4" t="s">
        <v>461</v>
      </c>
      <c r="F99" s="5">
        <v>1.1</v>
      </c>
      <c r="G99" s="10">
        <v>1.0</v>
      </c>
      <c r="H99" s="7"/>
      <c r="I99" s="7"/>
      <c r="J99" s="7"/>
      <c r="K99" s="7"/>
      <c r="L99" s="7"/>
      <c r="M99" s="7"/>
      <c r="N99" s="7"/>
      <c r="O99" s="7"/>
      <c r="P99" s="7"/>
      <c r="Q99" s="7"/>
      <c r="U99" s="8">
        <f t="shared" si="1"/>
        <v>1.1</v>
      </c>
      <c r="V99" s="8">
        <f t="shared" si="2"/>
        <v>61</v>
      </c>
      <c r="W99" s="8" t="str">
        <f t="shared" si="3"/>
        <v/>
      </c>
      <c r="X99" s="8" t="str">
        <f t="shared" si="4"/>
        <v>#N/A</v>
      </c>
    </row>
    <row r="100">
      <c r="A100" s="4">
        <f t="shared" si="5"/>
        <v>99</v>
      </c>
      <c r="B100" s="4" t="s">
        <v>280</v>
      </c>
      <c r="C100" s="4" t="s">
        <v>284</v>
      </c>
      <c r="D100" s="4" t="s">
        <v>8</v>
      </c>
      <c r="E100" s="4" t="s">
        <v>395</v>
      </c>
      <c r="F100" s="5">
        <v>3.9</v>
      </c>
      <c r="G100" s="10">
        <v>1.0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U100" s="8">
        <f t="shared" si="1"/>
        <v>3.9</v>
      </c>
      <c r="V100" s="8">
        <f t="shared" si="2"/>
        <v>22</v>
      </c>
      <c r="W100" s="8" t="str">
        <f t="shared" si="3"/>
        <v/>
      </c>
      <c r="X100" s="8" t="str">
        <f t="shared" si="4"/>
        <v>#N/A</v>
      </c>
    </row>
    <row r="101">
      <c r="A101" s="4">
        <f t="shared" si="5"/>
        <v>100</v>
      </c>
      <c r="B101" s="4" t="s">
        <v>284</v>
      </c>
      <c r="C101" s="4" t="s">
        <v>288</v>
      </c>
      <c r="D101" s="4" t="s">
        <v>8</v>
      </c>
      <c r="E101" s="4" t="s">
        <v>460</v>
      </c>
      <c r="F101" s="5">
        <v>1.9</v>
      </c>
      <c r="G101" s="10">
        <v>1.0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U101" s="8">
        <f t="shared" si="1"/>
        <v>1.9</v>
      </c>
      <c r="V101" s="8">
        <f t="shared" si="2"/>
        <v>43</v>
      </c>
      <c r="W101" s="8" t="str">
        <f t="shared" si="3"/>
        <v/>
      </c>
      <c r="X101" s="8" t="str">
        <f t="shared" si="4"/>
        <v>#N/A</v>
      </c>
    </row>
    <row r="102">
      <c r="A102" s="4">
        <f t="shared" si="5"/>
        <v>101</v>
      </c>
      <c r="B102" s="4" t="s">
        <v>294</v>
      </c>
      <c r="C102" s="4" t="s">
        <v>274</v>
      </c>
      <c r="D102" s="4" t="s">
        <v>8</v>
      </c>
      <c r="E102" s="4" t="s">
        <v>408</v>
      </c>
      <c r="F102" s="5">
        <v>1.6</v>
      </c>
      <c r="G102" s="10">
        <v>1.0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U102" s="8">
        <f t="shared" si="1"/>
        <v>1.6</v>
      </c>
      <c r="V102" s="8">
        <f t="shared" si="2"/>
        <v>50</v>
      </c>
      <c r="W102" s="8" t="str">
        <f t="shared" si="3"/>
        <v/>
      </c>
      <c r="X102" s="8" t="str">
        <f t="shared" si="4"/>
        <v>#N/A</v>
      </c>
    </row>
    <row r="103">
      <c r="A103" s="4">
        <f t="shared" si="5"/>
        <v>102</v>
      </c>
      <c r="B103" s="4" t="s">
        <v>288</v>
      </c>
      <c r="C103" s="4" t="s">
        <v>294</v>
      </c>
      <c r="D103" s="4" t="s">
        <v>8</v>
      </c>
      <c r="E103" s="4" t="s">
        <v>488</v>
      </c>
      <c r="F103" s="5">
        <v>0.7</v>
      </c>
      <c r="G103" s="10">
        <v>1.0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U103" s="8">
        <f t="shared" si="1"/>
        <v>0.7</v>
      </c>
      <c r="V103" s="8">
        <f t="shared" si="2"/>
        <v>87</v>
      </c>
      <c r="W103" s="8" t="str">
        <f t="shared" si="3"/>
        <v/>
      </c>
      <c r="X103" s="8" t="str">
        <f t="shared" si="4"/>
        <v>#N/A</v>
      </c>
    </row>
    <row r="104">
      <c r="A104" s="4">
        <f t="shared" si="5"/>
        <v>103</v>
      </c>
      <c r="B104" s="4" t="s">
        <v>287</v>
      </c>
      <c r="C104" s="4" t="s">
        <v>287</v>
      </c>
      <c r="D104" s="4" t="s">
        <v>8</v>
      </c>
      <c r="E104" s="4" t="s">
        <v>528</v>
      </c>
      <c r="F104" s="5">
        <v>0.5</v>
      </c>
      <c r="G104" s="10">
        <v>1.0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U104" s="8">
        <f t="shared" si="1"/>
        <v>0.5</v>
      </c>
      <c r="V104" s="8">
        <f t="shared" si="2"/>
        <v>99</v>
      </c>
      <c r="W104" s="8" t="str">
        <f t="shared" si="3"/>
        <v/>
      </c>
      <c r="X104" s="8" t="str">
        <f t="shared" si="4"/>
        <v>#N/A</v>
      </c>
    </row>
    <row r="105">
      <c r="A105" s="4">
        <f t="shared" si="5"/>
        <v>104</v>
      </c>
      <c r="B105" s="4" t="s">
        <v>286</v>
      </c>
      <c r="C105" s="4" t="s">
        <v>274</v>
      </c>
      <c r="D105" s="4" t="s">
        <v>8</v>
      </c>
      <c r="E105" s="4" t="s">
        <v>529</v>
      </c>
      <c r="F105" s="5">
        <v>2.0</v>
      </c>
      <c r="G105" s="10">
        <v>1.0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U105" s="8">
        <f t="shared" si="1"/>
        <v>2</v>
      </c>
      <c r="V105" s="8">
        <f t="shared" si="2"/>
        <v>39</v>
      </c>
      <c r="W105" s="8" t="str">
        <f t="shared" si="3"/>
        <v/>
      </c>
      <c r="X105" s="8" t="str">
        <f t="shared" si="4"/>
        <v>#N/A</v>
      </c>
    </row>
    <row r="106">
      <c r="A106" s="4">
        <f t="shared" si="5"/>
        <v>105</v>
      </c>
      <c r="B106" s="4" t="s">
        <v>281</v>
      </c>
      <c r="C106" s="4" t="s">
        <v>284</v>
      </c>
      <c r="D106" s="4" t="s">
        <v>8</v>
      </c>
      <c r="E106" s="4" t="s">
        <v>331</v>
      </c>
      <c r="F106" s="5">
        <v>1.7</v>
      </c>
      <c r="G106" s="10">
        <v>1.0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  <c r="U106" s="8">
        <f t="shared" si="1"/>
        <v>1.7</v>
      </c>
      <c r="V106" s="8">
        <f t="shared" si="2"/>
        <v>48</v>
      </c>
      <c r="W106" s="8" t="str">
        <f t="shared" si="3"/>
        <v/>
      </c>
      <c r="X106" s="8" t="str">
        <f t="shared" si="4"/>
        <v>#N/A</v>
      </c>
    </row>
    <row r="107">
      <c r="A107" s="4">
        <f t="shared" si="5"/>
        <v>106</v>
      </c>
      <c r="B107" s="4" t="s">
        <v>285</v>
      </c>
      <c r="C107" s="4" t="s">
        <v>288</v>
      </c>
      <c r="D107" s="4" t="s">
        <v>8</v>
      </c>
      <c r="E107" s="4" t="s">
        <v>530</v>
      </c>
      <c r="F107" s="5">
        <v>0.6</v>
      </c>
      <c r="G107" s="10">
        <v>1.0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U107" s="8">
        <f t="shared" si="1"/>
        <v>0.6</v>
      </c>
      <c r="V107" s="8">
        <f t="shared" si="2"/>
        <v>93</v>
      </c>
      <c r="W107" s="8" t="str">
        <f t="shared" si="3"/>
        <v/>
      </c>
      <c r="X107" s="8" t="str">
        <f t="shared" si="4"/>
        <v>#N/A</v>
      </c>
    </row>
    <row r="108">
      <c r="A108" s="4">
        <f t="shared" si="5"/>
        <v>107</v>
      </c>
      <c r="B108" s="4" t="s">
        <v>273</v>
      </c>
      <c r="C108" s="4" t="s">
        <v>286</v>
      </c>
      <c r="D108" s="4" t="s">
        <v>8</v>
      </c>
      <c r="E108" s="4" t="s">
        <v>451</v>
      </c>
      <c r="F108" s="5">
        <v>1.0</v>
      </c>
      <c r="G108" s="10">
        <v>1.0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U108" s="8">
        <f t="shared" si="1"/>
        <v>1</v>
      </c>
      <c r="V108" s="8">
        <f t="shared" si="2"/>
        <v>68</v>
      </c>
      <c r="W108" s="8" t="str">
        <f t="shared" si="3"/>
        <v/>
      </c>
      <c r="X108" s="8" t="str">
        <f t="shared" si="4"/>
        <v>#N/A</v>
      </c>
    </row>
    <row r="109">
      <c r="A109" s="4">
        <f t="shared" si="5"/>
        <v>108</v>
      </c>
      <c r="B109" s="4" t="s">
        <v>293</v>
      </c>
      <c r="C109" s="4" t="s">
        <v>293</v>
      </c>
      <c r="D109" s="4" t="s">
        <v>8</v>
      </c>
      <c r="E109" s="4" t="s">
        <v>531</v>
      </c>
      <c r="F109" s="5">
        <v>0.8</v>
      </c>
      <c r="G109" s="10">
        <v>1.0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r="U109" s="8">
        <f t="shared" si="1"/>
        <v>0.8</v>
      </c>
      <c r="V109" s="8">
        <f t="shared" si="2"/>
        <v>80</v>
      </c>
      <c r="W109" s="8" t="str">
        <f t="shared" si="3"/>
        <v/>
      </c>
      <c r="X109" s="8" t="str">
        <f t="shared" si="4"/>
        <v>#N/A</v>
      </c>
    </row>
    <row r="110">
      <c r="A110" s="4">
        <f t="shared" si="5"/>
        <v>109</v>
      </c>
      <c r="B110" s="4" t="s">
        <v>280</v>
      </c>
      <c r="C110" s="4" t="s">
        <v>286</v>
      </c>
      <c r="D110" s="4" t="s">
        <v>8</v>
      </c>
      <c r="E110" s="4" t="s">
        <v>495</v>
      </c>
      <c r="F110" s="5">
        <v>0.6</v>
      </c>
      <c r="G110" s="10">
        <v>1.0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U110" s="8">
        <f t="shared" si="1"/>
        <v>0.6</v>
      </c>
      <c r="V110" s="8">
        <f t="shared" si="2"/>
        <v>93</v>
      </c>
      <c r="W110" s="8" t="str">
        <f t="shared" si="3"/>
        <v/>
      </c>
      <c r="X110" s="8" t="str">
        <f t="shared" si="4"/>
        <v>#N/A</v>
      </c>
    </row>
    <row r="111">
      <c r="A111" s="4">
        <f t="shared" si="5"/>
        <v>110</v>
      </c>
      <c r="B111" s="4" t="s">
        <v>294</v>
      </c>
      <c r="C111" s="4" t="s">
        <v>273</v>
      </c>
      <c r="D111" s="4" t="s">
        <v>8</v>
      </c>
      <c r="E111" s="4" t="s">
        <v>532</v>
      </c>
      <c r="F111" s="5">
        <v>1.3</v>
      </c>
      <c r="G111" s="10">
        <v>1.0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U111" s="8">
        <f t="shared" si="1"/>
        <v>1.3</v>
      </c>
      <c r="V111" s="8">
        <f t="shared" si="2"/>
        <v>56</v>
      </c>
      <c r="W111" s="8" t="str">
        <f t="shared" si="3"/>
        <v/>
      </c>
      <c r="X111" s="8" t="str">
        <f t="shared" si="4"/>
        <v>#N/A</v>
      </c>
    </row>
    <row r="112">
      <c r="A112" s="4">
        <f t="shared" si="5"/>
        <v>111</v>
      </c>
      <c r="B112" s="4" t="s">
        <v>288</v>
      </c>
      <c r="C112" s="4" t="s">
        <v>286</v>
      </c>
      <c r="D112" s="4" t="s">
        <v>8</v>
      </c>
      <c r="E112" s="4" t="s">
        <v>398</v>
      </c>
      <c r="F112" s="5">
        <v>0.8</v>
      </c>
      <c r="G112" s="10">
        <v>1.0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U112" s="8">
        <f t="shared" si="1"/>
        <v>0.8</v>
      </c>
      <c r="V112" s="8">
        <f t="shared" si="2"/>
        <v>80</v>
      </c>
      <c r="W112" s="8" t="str">
        <f t="shared" si="3"/>
        <v/>
      </c>
      <c r="X112" s="8" t="str">
        <f t="shared" si="4"/>
        <v>#N/A</v>
      </c>
    </row>
    <row r="113">
      <c r="A113" s="4">
        <f t="shared" si="5"/>
        <v>112</v>
      </c>
      <c r="B113" s="4" t="s">
        <v>286</v>
      </c>
      <c r="C113" s="4" t="s">
        <v>286</v>
      </c>
      <c r="D113" s="4" t="s">
        <v>8</v>
      </c>
      <c r="E113" s="4" t="s">
        <v>429</v>
      </c>
      <c r="F113" s="5">
        <v>0.5</v>
      </c>
      <c r="G113" s="10">
        <v>1.0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U113" s="8">
        <f t="shared" si="1"/>
        <v>0.5</v>
      </c>
      <c r="V113" s="8">
        <f t="shared" si="2"/>
        <v>99</v>
      </c>
      <c r="W113" s="8" t="str">
        <f t="shared" si="3"/>
        <v/>
      </c>
      <c r="X113" s="8" t="str">
        <f t="shared" si="4"/>
        <v>#N/A</v>
      </c>
    </row>
    <row r="114">
      <c r="A114" s="4">
        <f t="shared" si="5"/>
        <v>113</v>
      </c>
      <c r="B114" s="4" t="s">
        <v>281</v>
      </c>
      <c r="C114" s="4" t="s">
        <v>281</v>
      </c>
      <c r="D114" s="4" t="s">
        <v>8</v>
      </c>
      <c r="E114" s="4" t="s">
        <v>533</v>
      </c>
      <c r="F114" s="5">
        <v>0.5</v>
      </c>
      <c r="G114" s="10">
        <v>1.0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U114" s="8">
        <f t="shared" si="1"/>
        <v>0.5</v>
      </c>
      <c r="V114" s="8">
        <f t="shared" si="2"/>
        <v>99</v>
      </c>
      <c r="W114" s="8" t="str">
        <f t="shared" si="3"/>
        <v/>
      </c>
      <c r="X114" s="8" t="str">
        <f t="shared" si="4"/>
        <v>#N/A</v>
      </c>
    </row>
    <row r="115">
      <c r="A115" s="4">
        <f t="shared" si="5"/>
        <v>114</v>
      </c>
      <c r="B115" s="4" t="s">
        <v>285</v>
      </c>
      <c r="C115" s="4" t="s">
        <v>273</v>
      </c>
      <c r="D115" s="4" t="s">
        <v>8</v>
      </c>
      <c r="E115" s="4" t="s">
        <v>134</v>
      </c>
      <c r="F115" s="5">
        <v>1.0</v>
      </c>
      <c r="G115" s="10">
        <v>1.0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U115" s="8">
        <f t="shared" si="1"/>
        <v>1</v>
      </c>
      <c r="V115" s="8">
        <f t="shared" si="2"/>
        <v>68</v>
      </c>
      <c r="W115" s="8" t="str">
        <f t="shared" si="3"/>
        <v/>
      </c>
      <c r="X115" s="8" t="str">
        <f t="shared" si="4"/>
        <v>#N/A</v>
      </c>
    </row>
    <row r="116">
      <c r="A116" s="4">
        <f t="shared" si="5"/>
        <v>115</v>
      </c>
      <c r="B116" s="4" t="s">
        <v>273</v>
      </c>
      <c r="C116" s="4" t="s">
        <v>273</v>
      </c>
      <c r="D116" s="4" t="s">
        <v>8</v>
      </c>
      <c r="E116" s="4" t="s">
        <v>534</v>
      </c>
      <c r="F116" s="5">
        <v>0.5</v>
      </c>
      <c r="G116" s="10">
        <v>2.0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U116" s="8">
        <f t="shared" si="1"/>
        <v>0.5</v>
      </c>
      <c r="V116" s="8">
        <f t="shared" si="2"/>
        <v>99</v>
      </c>
      <c r="W116" s="8" t="str">
        <f t="shared" si="3"/>
        <v/>
      </c>
      <c r="X116" s="8" t="str">
        <f t="shared" si="4"/>
        <v>#N/A</v>
      </c>
    </row>
    <row r="117">
      <c r="A117" s="4">
        <f t="shared" si="5"/>
        <v>116</v>
      </c>
      <c r="B117" s="4" t="s">
        <v>280</v>
      </c>
      <c r="C117" s="4" t="s">
        <v>294</v>
      </c>
      <c r="D117" s="4" t="s">
        <v>8</v>
      </c>
      <c r="E117" s="4" t="s">
        <v>225</v>
      </c>
      <c r="F117" s="5">
        <v>0.6</v>
      </c>
      <c r="G117" s="10">
        <v>1.0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U117" s="8">
        <f t="shared" si="1"/>
        <v>0.6</v>
      </c>
      <c r="V117" s="8">
        <f t="shared" si="2"/>
        <v>93</v>
      </c>
      <c r="W117" s="8" t="str">
        <f t="shared" si="3"/>
        <v/>
      </c>
      <c r="X117" s="8" t="str">
        <f t="shared" si="4"/>
        <v>#N/A</v>
      </c>
    </row>
    <row r="118">
      <c r="A118" s="4">
        <f t="shared" si="5"/>
        <v>117</v>
      </c>
      <c r="B118" s="4" t="s">
        <v>294</v>
      </c>
      <c r="C118" s="4" t="s">
        <v>294</v>
      </c>
      <c r="D118" s="4" t="s">
        <v>8</v>
      </c>
      <c r="E118" s="4" t="s">
        <v>352</v>
      </c>
      <c r="F118" s="5">
        <v>0.7</v>
      </c>
      <c r="G118" s="10">
        <v>1.0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U118" s="8">
        <f t="shared" si="1"/>
        <v>0.7</v>
      </c>
      <c r="V118" s="8">
        <f t="shared" si="2"/>
        <v>87</v>
      </c>
      <c r="W118" s="8" t="str">
        <f t="shared" si="3"/>
        <v/>
      </c>
      <c r="X118" s="8" t="str">
        <f t="shared" si="4"/>
        <v>#N/A</v>
      </c>
    </row>
    <row r="119">
      <c r="A119" s="4">
        <f t="shared" si="5"/>
        <v>118</v>
      </c>
      <c r="B119" s="4" t="s">
        <v>288</v>
      </c>
      <c r="C119" s="4" t="s">
        <v>288</v>
      </c>
      <c r="D119" s="4" t="s">
        <v>8</v>
      </c>
      <c r="E119" s="4" t="s">
        <v>409</v>
      </c>
      <c r="F119" s="5">
        <v>0.5</v>
      </c>
      <c r="G119" s="10">
        <v>2.0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U119" s="8">
        <f t="shared" si="1"/>
        <v>0.5</v>
      </c>
      <c r="V119" s="8">
        <f t="shared" si="2"/>
        <v>99</v>
      </c>
      <c r="W119" s="8" t="str">
        <f t="shared" si="3"/>
        <v/>
      </c>
      <c r="X119" s="8" t="str">
        <f t="shared" si="4"/>
        <v>#N/A</v>
      </c>
    </row>
    <row r="120">
      <c r="A120" s="4">
        <f t="shared" si="5"/>
        <v>119</v>
      </c>
      <c r="B120" s="4" t="s">
        <v>286</v>
      </c>
      <c r="C120" s="4" t="s">
        <v>294</v>
      </c>
      <c r="D120" s="4" t="s">
        <v>8</v>
      </c>
      <c r="E120" s="4" t="s">
        <v>350</v>
      </c>
      <c r="F120" s="5">
        <v>0.8</v>
      </c>
      <c r="G120" s="10">
        <v>1.0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U120" s="8">
        <f t="shared" si="1"/>
        <v>0.8</v>
      </c>
      <c r="V120" s="8">
        <f t="shared" si="2"/>
        <v>80</v>
      </c>
      <c r="W120" s="8" t="str">
        <f t="shared" si="3"/>
        <v/>
      </c>
      <c r="X120" s="8" t="str">
        <f t="shared" si="4"/>
        <v>#N/A</v>
      </c>
    </row>
    <row r="121">
      <c r="A121" s="4">
        <f t="shared" si="5"/>
        <v>120</v>
      </c>
      <c r="B121" s="4" t="s">
        <v>281</v>
      </c>
      <c r="C121" s="4" t="s">
        <v>273</v>
      </c>
      <c r="D121" s="4" t="s">
        <v>8</v>
      </c>
      <c r="E121" s="4" t="s">
        <v>535</v>
      </c>
      <c r="F121" s="5">
        <v>1.0</v>
      </c>
      <c r="G121" s="10">
        <v>1.0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U121" s="8">
        <f t="shared" si="1"/>
        <v>1</v>
      </c>
      <c r="V121" s="8">
        <f t="shared" si="2"/>
        <v>68</v>
      </c>
      <c r="W121" s="8" t="str">
        <f t="shared" si="3"/>
        <v/>
      </c>
      <c r="X121" s="8" t="str">
        <f t="shared" si="4"/>
        <v>#N/A</v>
      </c>
    </row>
    <row r="122">
      <c r="A122" s="4">
        <f t="shared" si="5"/>
        <v>121</v>
      </c>
      <c r="B122" s="4" t="s">
        <v>285</v>
      </c>
      <c r="C122" s="4" t="s">
        <v>285</v>
      </c>
      <c r="D122" s="4" t="s">
        <v>8</v>
      </c>
      <c r="E122" s="4" t="s">
        <v>536</v>
      </c>
      <c r="F122" s="5">
        <v>0.6</v>
      </c>
      <c r="G122" s="10">
        <v>1.0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U122" s="8">
        <f t="shared" si="1"/>
        <v>0.6</v>
      </c>
      <c r="V122" s="8">
        <f t="shared" si="2"/>
        <v>93</v>
      </c>
      <c r="W122" s="8" t="str">
        <f t="shared" si="3"/>
        <v/>
      </c>
      <c r="X122" s="8" t="str">
        <f t="shared" si="4"/>
        <v>#N/A</v>
      </c>
    </row>
    <row r="123">
      <c r="A123" s="4">
        <f t="shared" si="5"/>
        <v>122</v>
      </c>
      <c r="B123" s="4" t="s">
        <v>273</v>
      </c>
      <c r="C123" s="4" t="s">
        <v>273</v>
      </c>
      <c r="D123" s="4" t="s">
        <v>8</v>
      </c>
      <c r="E123" s="4" t="s">
        <v>228</v>
      </c>
      <c r="F123" s="5">
        <v>0.5</v>
      </c>
      <c r="G123" s="10">
        <v>2.0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U123" s="8">
        <f t="shared" si="1"/>
        <v>0.5</v>
      </c>
      <c r="V123" s="8">
        <f t="shared" si="2"/>
        <v>99</v>
      </c>
      <c r="W123" s="8" t="str">
        <f t="shared" si="3"/>
        <v/>
      </c>
      <c r="X123" s="8" t="str">
        <f t="shared" si="4"/>
        <v>#N/A</v>
      </c>
    </row>
    <row r="124">
      <c r="A124" s="4">
        <f t="shared" si="5"/>
        <v>123</v>
      </c>
      <c r="B124" s="4" t="s">
        <v>280</v>
      </c>
      <c r="C124" s="4" t="s">
        <v>281</v>
      </c>
      <c r="D124" s="4" t="s">
        <v>8</v>
      </c>
      <c r="E124" s="4" t="s">
        <v>351</v>
      </c>
      <c r="F124" s="5">
        <v>0.7</v>
      </c>
      <c r="G124" s="10">
        <v>1.0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U124" s="8">
        <f t="shared" si="1"/>
        <v>0.7</v>
      </c>
      <c r="V124" s="8">
        <f t="shared" si="2"/>
        <v>87</v>
      </c>
      <c r="W124" s="8" t="str">
        <f t="shared" si="3"/>
        <v/>
      </c>
      <c r="X124" s="8" t="str">
        <f t="shared" si="4"/>
        <v>#N/A</v>
      </c>
    </row>
    <row r="125">
      <c r="A125" s="4">
        <f t="shared" si="5"/>
        <v>124</v>
      </c>
      <c r="B125" s="4" t="s">
        <v>294</v>
      </c>
      <c r="C125" s="4" t="s">
        <v>294</v>
      </c>
      <c r="D125" s="4" t="s">
        <v>8</v>
      </c>
      <c r="E125" s="4" t="s">
        <v>423</v>
      </c>
      <c r="F125" s="5">
        <v>0.5</v>
      </c>
      <c r="G125" s="10">
        <v>1.0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U125" s="8">
        <f t="shared" si="1"/>
        <v>0.5</v>
      </c>
      <c r="V125" s="8">
        <f t="shared" si="2"/>
        <v>99</v>
      </c>
      <c r="W125" s="8" t="str">
        <f t="shared" si="3"/>
        <v/>
      </c>
      <c r="X125" s="8" t="str">
        <f t="shared" si="4"/>
        <v>#N/A</v>
      </c>
    </row>
    <row r="126">
      <c r="A126" s="4">
        <f t="shared" si="5"/>
        <v>125</v>
      </c>
      <c r="B126" s="4" t="s">
        <v>288</v>
      </c>
      <c r="C126" s="4" t="s">
        <v>288</v>
      </c>
      <c r="D126" s="4" t="s">
        <v>8</v>
      </c>
      <c r="E126" s="4" t="s">
        <v>137</v>
      </c>
      <c r="F126" s="5">
        <v>0.5</v>
      </c>
      <c r="G126" s="10">
        <v>3.0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U126" s="8">
        <f t="shared" si="1"/>
        <v>0.5</v>
      </c>
      <c r="V126" s="8">
        <f t="shared" si="2"/>
        <v>99</v>
      </c>
      <c r="W126" s="8" t="str">
        <f t="shared" si="3"/>
        <v/>
      </c>
      <c r="X126" s="8" t="str">
        <f t="shared" si="4"/>
        <v>#N/A</v>
      </c>
    </row>
    <row r="127">
      <c r="A127" s="4">
        <f t="shared" si="5"/>
        <v>126</v>
      </c>
      <c r="B127" s="4" t="s">
        <v>281</v>
      </c>
      <c r="C127" s="4" t="s">
        <v>281</v>
      </c>
      <c r="D127" s="4" t="s">
        <v>8</v>
      </c>
      <c r="E127" s="4" t="s">
        <v>537</v>
      </c>
      <c r="F127" s="5">
        <v>0.5</v>
      </c>
      <c r="G127" s="10">
        <v>1.0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U127" s="8">
        <f t="shared" si="1"/>
        <v>0.5</v>
      </c>
      <c r="V127" s="8">
        <f t="shared" si="2"/>
        <v>99</v>
      </c>
      <c r="W127" s="8" t="str">
        <f t="shared" si="3"/>
        <v/>
      </c>
      <c r="X127" s="8" t="str">
        <f t="shared" si="4"/>
        <v>#N/A</v>
      </c>
    </row>
    <row r="128">
      <c r="A128" s="4">
        <f t="shared" si="5"/>
        <v>127</v>
      </c>
      <c r="B128" s="4" t="s">
        <v>285</v>
      </c>
      <c r="C128" s="4" t="s">
        <v>273</v>
      </c>
      <c r="D128" s="4" t="s">
        <v>8</v>
      </c>
      <c r="E128" s="4" t="s">
        <v>538</v>
      </c>
      <c r="F128" s="5">
        <v>0.7</v>
      </c>
      <c r="G128" s="10">
        <v>1.0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U128" s="8">
        <f t="shared" si="1"/>
        <v>0.7</v>
      </c>
      <c r="V128" s="8">
        <f t="shared" si="2"/>
        <v>87</v>
      </c>
      <c r="W128" s="8" t="str">
        <f t="shared" si="3"/>
        <v/>
      </c>
      <c r="X128" s="8" t="str">
        <f t="shared" si="4"/>
        <v>#N/A</v>
      </c>
    </row>
    <row r="129">
      <c r="A129" s="4">
        <f t="shared" si="5"/>
        <v>128</v>
      </c>
      <c r="B129" s="4" t="s">
        <v>280</v>
      </c>
      <c r="C129" s="4" t="s">
        <v>294</v>
      </c>
      <c r="D129" s="4" t="s">
        <v>8</v>
      </c>
      <c r="E129" s="4" t="s">
        <v>336</v>
      </c>
      <c r="F129" s="5">
        <v>0.6</v>
      </c>
      <c r="G129" s="10">
        <v>1.0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U129" s="8">
        <f t="shared" si="1"/>
        <v>0.6</v>
      </c>
      <c r="V129" s="8">
        <f t="shared" si="2"/>
        <v>93</v>
      </c>
      <c r="W129" s="8" t="str">
        <f t="shared" si="3"/>
        <v/>
      </c>
      <c r="X129" s="8" t="str">
        <f t="shared" si="4"/>
        <v>#N/A</v>
      </c>
    </row>
    <row r="130">
      <c r="A130" s="4">
        <f t="shared" si="5"/>
        <v>129</v>
      </c>
      <c r="B130" s="4" t="s">
        <v>294</v>
      </c>
      <c r="C130" s="4" t="s">
        <v>294</v>
      </c>
      <c r="D130" s="4" t="s">
        <v>8</v>
      </c>
      <c r="E130" s="4" t="s">
        <v>539</v>
      </c>
      <c r="F130" s="5">
        <v>0.5</v>
      </c>
      <c r="G130" s="10">
        <v>1.0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U130" s="8">
        <f t="shared" si="1"/>
        <v>0.5</v>
      </c>
      <c r="V130" s="8">
        <f t="shared" si="2"/>
        <v>99</v>
      </c>
      <c r="W130" s="8" t="str">
        <f t="shared" si="3"/>
        <v/>
      </c>
      <c r="X130" s="8" t="str">
        <f t="shared" si="4"/>
        <v>#N/A</v>
      </c>
    </row>
    <row r="131">
      <c r="A131" s="4">
        <f t="shared" si="5"/>
        <v>130</v>
      </c>
      <c r="B131" s="4" t="s">
        <v>280</v>
      </c>
      <c r="C131" s="4" t="s">
        <v>280</v>
      </c>
      <c r="D131" s="4" t="s">
        <v>8</v>
      </c>
      <c r="E131" s="4" t="s">
        <v>540</v>
      </c>
      <c r="F131" s="5">
        <v>0.5</v>
      </c>
      <c r="G131" s="10">
        <v>1.0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U131" s="8">
        <f t="shared" si="1"/>
        <v>0.5</v>
      </c>
      <c r="V131" s="8">
        <f t="shared" si="2"/>
        <v>99</v>
      </c>
      <c r="W131" s="8" t="str">
        <f t="shared" si="3"/>
        <v/>
      </c>
      <c r="X131" s="8" t="str">
        <f t="shared" si="4"/>
        <v>#N/A</v>
      </c>
    </row>
    <row r="132">
      <c r="A132" s="4">
        <f t="shared" si="5"/>
        <v>131</v>
      </c>
      <c r="B132" s="4" t="s">
        <v>294</v>
      </c>
      <c r="C132" s="4" t="s">
        <v>294</v>
      </c>
      <c r="D132" s="4" t="s">
        <v>8</v>
      </c>
      <c r="E132" s="4" t="s">
        <v>541</v>
      </c>
      <c r="F132" s="5">
        <v>0.5</v>
      </c>
      <c r="G132" s="10">
        <v>1.0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U132" s="8">
        <f t="shared" si="1"/>
        <v>0.5</v>
      </c>
      <c r="V132" s="8">
        <f t="shared" si="2"/>
        <v>99</v>
      </c>
      <c r="W132" s="8" t="str">
        <f t="shared" si="3"/>
        <v/>
      </c>
      <c r="X132" s="8" t="str">
        <f t="shared" si="4"/>
        <v>#N/A</v>
      </c>
    </row>
    <row r="133">
      <c r="A133" s="4">
        <f t="shared" si="5"/>
        <v>132</v>
      </c>
      <c r="B133" s="4" t="s">
        <v>280</v>
      </c>
      <c r="C133" s="4" t="s">
        <v>280</v>
      </c>
      <c r="D133" s="4" t="s">
        <v>8</v>
      </c>
      <c r="E133" s="4" t="s">
        <v>424</v>
      </c>
      <c r="F133" s="5">
        <v>0.5</v>
      </c>
      <c r="G133" s="10">
        <v>1.0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U133" s="8">
        <f t="shared" si="1"/>
        <v>0.5</v>
      </c>
      <c r="V133" s="8">
        <f t="shared" si="2"/>
        <v>99</v>
      </c>
      <c r="W133" s="8" t="str">
        <f t="shared" si="3"/>
        <v/>
      </c>
      <c r="X133" s="8" t="str">
        <f t="shared" si="4"/>
        <v>#N/A</v>
      </c>
    </row>
    <row r="134">
      <c r="A134" s="4">
        <f t="shared" si="5"/>
        <v>133</v>
      </c>
      <c r="B134" s="4" t="s">
        <v>294</v>
      </c>
      <c r="C134" s="4" t="s">
        <v>294</v>
      </c>
      <c r="D134" s="4" t="s">
        <v>8</v>
      </c>
      <c r="E134" s="4" t="s">
        <v>121</v>
      </c>
      <c r="F134" s="5">
        <v>0.5</v>
      </c>
      <c r="G134" s="10">
        <v>1.0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U134" s="8">
        <f t="shared" si="1"/>
        <v>0.5</v>
      </c>
      <c r="V134" s="8">
        <f t="shared" si="2"/>
        <v>99</v>
      </c>
      <c r="W134" s="8" t="str">
        <f t="shared" si="3"/>
        <v/>
      </c>
      <c r="X134" s="8" t="str">
        <f t="shared" si="4"/>
        <v>#N/A</v>
      </c>
    </row>
    <row r="135">
      <c r="A135" s="4">
        <f t="shared" si="5"/>
        <v>134</v>
      </c>
      <c r="B135" s="4" t="s">
        <v>280</v>
      </c>
      <c r="C135" s="4" t="s">
        <v>280</v>
      </c>
      <c r="D135" s="4" t="s">
        <v>8</v>
      </c>
      <c r="E135" s="4" t="s">
        <v>542</v>
      </c>
      <c r="F135" s="5">
        <v>0.5</v>
      </c>
      <c r="G135" s="10">
        <v>1.0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U135" s="8">
        <f t="shared" si="1"/>
        <v>0.5</v>
      </c>
      <c r="V135" s="8">
        <f t="shared" si="2"/>
        <v>99</v>
      </c>
      <c r="W135" s="8" t="str">
        <f t="shared" si="3"/>
        <v/>
      </c>
      <c r="X135" s="8" t="str">
        <f t="shared" si="4"/>
        <v>#N/A</v>
      </c>
    </row>
    <row r="136">
      <c r="A136" s="4"/>
      <c r="B136" s="4"/>
      <c r="C136" s="4"/>
      <c r="D136" s="4"/>
      <c r="E136" s="4"/>
      <c r="F136" s="5"/>
      <c r="G136" s="10"/>
      <c r="H136" s="7"/>
      <c r="I136" s="7"/>
      <c r="J136" s="7"/>
      <c r="K136" s="7"/>
      <c r="L136" s="7"/>
      <c r="M136" s="7"/>
      <c r="N136" s="7"/>
      <c r="O136" s="7"/>
      <c r="P136" s="7"/>
      <c r="Q136" s="7"/>
      <c r="U136" s="8" t="str">
        <f t="shared" si="1"/>
        <v/>
      </c>
      <c r="W136" s="8" t="str">
        <f t="shared" si="3"/>
        <v/>
      </c>
    </row>
    <row r="137">
      <c r="A137" s="4"/>
      <c r="B137" s="4"/>
      <c r="C137" s="4"/>
      <c r="D137" s="4"/>
      <c r="E137" s="4"/>
      <c r="F137" s="5"/>
      <c r="G137" s="10"/>
      <c r="H137" s="7"/>
      <c r="I137" s="7"/>
      <c r="J137" s="7"/>
      <c r="K137" s="7"/>
      <c r="L137" s="7"/>
      <c r="M137" s="7"/>
      <c r="N137" s="7"/>
      <c r="O137" s="7"/>
      <c r="P137" s="7"/>
      <c r="Q137" s="7"/>
      <c r="U137" s="8" t="str">
        <f t="shared" si="1"/>
        <v/>
      </c>
      <c r="W137" s="8" t="str">
        <f t="shared" si="3"/>
        <v/>
      </c>
    </row>
    <row r="138">
      <c r="A138" s="4"/>
      <c r="B138" s="4"/>
      <c r="C138" s="4"/>
      <c r="D138" s="4"/>
      <c r="E138" s="4"/>
      <c r="F138" s="5"/>
      <c r="G138" s="10"/>
      <c r="H138" s="7"/>
      <c r="I138" s="7"/>
      <c r="J138" s="7"/>
      <c r="K138" s="7"/>
      <c r="L138" s="7"/>
      <c r="M138" s="7"/>
      <c r="N138" s="7"/>
      <c r="O138" s="7"/>
      <c r="P138" s="7"/>
      <c r="Q138" s="7"/>
      <c r="U138" s="8" t="str">
        <f t="shared" si="1"/>
        <v/>
      </c>
      <c r="W138" s="8" t="str">
        <f t="shared" si="3"/>
        <v/>
      </c>
    </row>
    <row r="139">
      <c r="A139" s="4"/>
      <c r="B139" s="4"/>
      <c r="C139" s="4"/>
      <c r="D139" s="4"/>
      <c r="E139" s="4"/>
      <c r="F139" s="5"/>
      <c r="G139" s="10"/>
      <c r="H139" s="7"/>
      <c r="I139" s="7"/>
      <c r="J139" s="7"/>
      <c r="K139" s="7"/>
      <c r="L139" s="7"/>
      <c r="M139" s="7"/>
      <c r="N139" s="7"/>
      <c r="O139" s="7"/>
      <c r="P139" s="7"/>
      <c r="Q139" s="7"/>
      <c r="U139" s="8" t="str">
        <f t="shared" si="1"/>
        <v/>
      </c>
      <c r="W139" s="8" t="str">
        <f t="shared" si="3"/>
        <v/>
      </c>
    </row>
    <row r="140">
      <c r="A140" s="4"/>
      <c r="B140" s="4"/>
      <c r="C140" s="4"/>
      <c r="D140" s="4"/>
      <c r="E140" s="4"/>
      <c r="F140" s="5"/>
      <c r="G140" s="10"/>
      <c r="H140" s="7"/>
      <c r="I140" s="7"/>
      <c r="J140" s="7"/>
      <c r="K140" s="7"/>
      <c r="L140" s="7"/>
      <c r="M140" s="7"/>
      <c r="N140" s="7"/>
      <c r="O140" s="7"/>
      <c r="P140" s="7"/>
      <c r="Q140" s="7"/>
      <c r="U140" s="8" t="str">
        <f t="shared" si="1"/>
        <v/>
      </c>
      <c r="W140" s="8" t="str">
        <f t="shared" si="3"/>
        <v/>
      </c>
    </row>
    <row r="141">
      <c r="A141" s="4"/>
      <c r="B141" s="4"/>
      <c r="C141" s="4"/>
      <c r="D141" s="4"/>
      <c r="E141" s="4"/>
      <c r="F141" s="5"/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  <c r="U141" s="8" t="str">
        <f t="shared" si="1"/>
        <v/>
      </c>
      <c r="W141" s="8" t="str">
        <f t="shared" si="3"/>
        <v/>
      </c>
    </row>
    <row r="142">
      <c r="A142" s="4"/>
      <c r="B142" s="4"/>
      <c r="C142" s="4"/>
      <c r="D142" s="4"/>
      <c r="E142" s="4"/>
      <c r="F142" s="5"/>
      <c r="G142" s="10"/>
      <c r="H142" s="7"/>
      <c r="I142" s="7"/>
      <c r="J142" s="7"/>
      <c r="K142" s="7"/>
      <c r="L142" s="7"/>
      <c r="M142" s="7"/>
      <c r="N142" s="7"/>
      <c r="O142" s="7"/>
      <c r="P142" s="7"/>
      <c r="Q142" s="7"/>
      <c r="U142" s="8" t="str">
        <f t="shared" si="1"/>
        <v/>
      </c>
      <c r="W142" s="8" t="str">
        <f t="shared" si="3"/>
        <v/>
      </c>
    </row>
    <row r="143">
      <c r="A143" s="4"/>
      <c r="B143" s="4"/>
      <c r="C143" s="4"/>
      <c r="D143" s="4"/>
      <c r="E143" s="4"/>
      <c r="F143" s="5"/>
      <c r="G143" s="10"/>
      <c r="H143" s="7"/>
      <c r="I143" s="7"/>
      <c r="J143" s="7"/>
      <c r="K143" s="7"/>
      <c r="L143" s="7"/>
      <c r="M143" s="7"/>
      <c r="N143" s="7"/>
      <c r="O143" s="7"/>
      <c r="P143" s="7"/>
      <c r="Q143" s="7"/>
      <c r="U143" s="8" t="str">
        <f t="shared" si="1"/>
        <v/>
      </c>
      <c r="W143" s="8" t="str">
        <f t="shared" si="3"/>
        <v/>
      </c>
    </row>
    <row r="144">
      <c r="A144" s="4"/>
      <c r="B144" s="4"/>
      <c r="C144" s="4"/>
      <c r="D144" s="4"/>
      <c r="E144" s="4"/>
      <c r="F144" s="5"/>
      <c r="G144" s="10"/>
      <c r="H144" s="7"/>
      <c r="I144" s="7"/>
      <c r="J144" s="7"/>
      <c r="K144" s="7"/>
      <c r="L144" s="7"/>
      <c r="M144" s="7"/>
      <c r="N144" s="7"/>
      <c r="O144" s="7"/>
      <c r="P144" s="7"/>
      <c r="Q144" s="7"/>
      <c r="U144" s="8" t="str">
        <f t="shared" si="1"/>
        <v/>
      </c>
      <c r="W144" s="8" t="str">
        <f t="shared" si="3"/>
        <v/>
      </c>
    </row>
    <row r="145">
      <c r="A145" s="4"/>
      <c r="B145" s="4"/>
      <c r="C145" s="4"/>
      <c r="D145" s="4"/>
      <c r="E145" s="4"/>
      <c r="F145" s="5"/>
      <c r="G145" s="10"/>
      <c r="H145" s="7"/>
      <c r="I145" s="7"/>
      <c r="J145" s="7"/>
      <c r="K145" s="7"/>
      <c r="L145" s="7"/>
      <c r="M145" s="7"/>
      <c r="N145" s="7"/>
      <c r="O145" s="7"/>
      <c r="P145" s="7"/>
      <c r="Q145" s="7"/>
      <c r="U145" s="8" t="str">
        <f t="shared" si="1"/>
        <v/>
      </c>
      <c r="W145" s="8" t="str">
        <f t="shared" si="3"/>
        <v/>
      </c>
    </row>
    <row r="146">
      <c r="A146" s="4"/>
      <c r="B146" s="4"/>
      <c r="C146" s="4"/>
      <c r="D146" s="4"/>
      <c r="E146" s="4"/>
      <c r="F146" s="5"/>
      <c r="G146" s="10"/>
      <c r="H146" s="7"/>
      <c r="I146" s="7"/>
      <c r="J146" s="7"/>
      <c r="K146" s="7"/>
      <c r="L146" s="7"/>
      <c r="M146" s="7"/>
      <c r="N146" s="7"/>
      <c r="O146" s="7"/>
      <c r="P146" s="7"/>
      <c r="Q146" s="7"/>
      <c r="U146" s="8" t="str">
        <f t="shared" si="1"/>
        <v/>
      </c>
      <c r="W146" s="8" t="str">
        <f t="shared" si="3"/>
        <v/>
      </c>
    </row>
    <row r="147">
      <c r="A147" s="4"/>
      <c r="B147" s="4"/>
      <c r="C147" s="4"/>
      <c r="D147" s="4"/>
      <c r="E147" s="4"/>
      <c r="F147" s="5"/>
      <c r="G147" s="10"/>
      <c r="H147" s="7"/>
      <c r="I147" s="7"/>
      <c r="J147" s="7"/>
      <c r="K147" s="7"/>
      <c r="L147" s="7"/>
      <c r="M147" s="7"/>
      <c r="N147" s="7"/>
      <c r="O147" s="7"/>
      <c r="P147" s="7"/>
      <c r="Q147" s="7"/>
      <c r="U147" s="8" t="str">
        <f t="shared" si="1"/>
        <v/>
      </c>
      <c r="W147" s="8" t="str">
        <f t="shared" si="3"/>
        <v/>
      </c>
    </row>
    <row r="148">
      <c r="A148" s="4"/>
      <c r="B148" s="4"/>
      <c r="C148" s="4"/>
      <c r="D148" s="4"/>
      <c r="E148" s="4"/>
      <c r="F148" s="5"/>
      <c r="G148" s="10"/>
      <c r="H148" s="7"/>
      <c r="I148" s="7"/>
      <c r="J148" s="7"/>
      <c r="K148" s="7"/>
      <c r="L148" s="7"/>
      <c r="M148" s="7"/>
      <c r="N148" s="7"/>
      <c r="O148" s="7"/>
      <c r="P148" s="7"/>
      <c r="Q148" s="7"/>
      <c r="U148" s="8" t="str">
        <f t="shared" si="1"/>
        <v/>
      </c>
      <c r="W148" s="8" t="str">
        <f t="shared" si="3"/>
        <v/>
      </c>
    </row>
    <row r="149">
      <c r="A149" s="4"/>
      <c r="B149" s="4"/>
      <c r="C149" s="4"/>
      <c r="D149" s="4"/>
      <c r="E149" s="4"/>
      <c r="F149" s="5"/>
      <c r="G149" s="10"/>
      <c r="H149" s="7"/>
      <c r="I149" s="7"/>
      <c r="J149" s="7"/>
      <c r="K149" s="7"/>
      <c r="L149" s="7"/>
      <c r="M149" s="7"/>
      <c r="N149" s="7"/>
      <c r="O149" s="7"/>
      <c r="P149" s="7"/>
      <c r="Q149" s="7"/>
      <c r="U149" s="8" t="str">
        <f t="shared" si="1"/>
        <v/>
      </c>
      <c r="W149" s="8" t="str">
        <f t="shared" si="3"/>
        <v/>
      </c>
    </row>
    <row r="150">
      <c r="A150" s="4"/>
      <c r="B150" s="4"/>
      <c r="C150" s="4"/>
      <c r="D150" s="4"/>
      <c r="E150" s="4"/>
      <c r="F150" s="5"/>
      <c r="G150" s="10"/>
      <c r="H150" s="7"/>
      <c r="I150" s="7"/>
      <c r="J150" s="7"/>
      <c r="K150" s="7"/>
      <c r="L150" s="7"/>
      <c r="M150" s="7"/>
      <c r="N150" s="7"/>
      <c r="O150" s="7"/>
      <c r="P150" s="7"/>
      <c r="Q150" s="7"/>
      <c r="U150" s="8" t="str">
        <f t="shared" si="1"/>
        <v/>
      </c>
      <c r="W150" s="8" t="str">
        <f t="shared" si="3"/>
        <v/>
      </c>
    </row>
    <row r="151">
      <c r="A151" s="4"/>
      <c r="B151" s="4"/>
      <c r="C151" s="4"/>
      <c r="D151" s="4"/>
      <c r="E151" s="4"/>
      <c r="F151" s="5"/>
      <c r="G151" s="10"/>
      <c r="H151" s="7"/>
      <c r="I151" s="7"/>
      <c r="J151" s="7"/>
      <c r="K151" s="7"/>
      <c r="L151" s="7"/>
      <c r="M151" s="7"/>
      <c r="N151" s="7"/>
      <c r="O151" s="7"/>
      <c r="P151" s="7"/>
      <c r="Q151" s="7"/>
      <c r="U151" s="8" t="str">
        <f t="shared" si="1"/>
        <v/>
      </c>
      <c r="W151" s="8" t="str">
        <f t="shared" si="3"/>
        <v/>
      </c>
    </row>
    <row r="152">
      <c r="A152" s="4"/>
      <c r="B152" s="4"/>
      <c r="C152" s="4"/>
      <c r="D152" s="4"/>
      <c r="E152" s="4"/>
      <c r="F152" s="5"/>
      <c r="G152" s="10"/>
      <c r="H152" s="7"/>
      <c r="I152" s="7"/>
      <c r="J152" s="7"/>
      <c r="K152" s="7"/>
      <c r="L152" s="7"/>
      <c r="M152" s="7"/>
      <c r="N152" s="7"/>
      <c r="O152" s="7"/>
      <c r="P152" s="7"/>
      <c r="Q152" s="7"/>
      <c r="U152" s="8" t="str">
        <f t="shared" si="1"/>
        <v/>
      </c>
      <c r="W152" s="8" t="str">
        <f t="shared" si="3"/>
        <v/>
      </c>
    </row>
    <row r="153">
      <c r="A153" s="4"/>
      <c r="B153" s="4"/>
      <c r="C153" s="4"/>
      <c r="D153" s="4"/>
      <c r="E153" s="4"/>
      <c r="F153" s="5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  <c r="U153" s="8" t="str">
        <f t="shared" si="1"/>
        <v/>
      </c>
      <c r="W153" s="8" t="str">
        <f t="shared" si="3"/>
        <v/>
      </c>
    </row>
    <row r="154">
      <c r="A154" s="4"/>
      <c r="B154" s="4"/>
      <c r="C154" s="4"/>
      <c r="D154" s="4"/>
      <c r="E154" s="4"/>
      <c r="F154" s="5"/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  <c r="U154" s="8" t="str">
        <f t="shared" si="1"/>
        <v/>
      </c>
      <c r="W154" s="8" t="str">
        <f t="shared" si="3"/>
        <v/>
      </c>
    </row>
    <row r="155">
      <c r="A155" s="4"/>
      <c r="B155" s="4"/>
      <c r="C155" s="4"/>
      <c r="D155" s="4"/>
      <c r="E155" s="4"/>
      <c r="F155" s="5"/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  <c r="U155" s="8" t="str">
        <f t="shared" si="1"/>
        <v/>
      </c>
      <c r="W155" s="8" t="str">
        <f t="shared" si="3"/>
        <v/>
      </c>
    </row>
    <row r="156">
      <c r="A156" s="4"/>
      <c r="B156" s="4"/>
      <c r="C156" s="4"/>
      <c r="D156" s="4"/>
      <c r="E156" s="4"/>
      <c r="F156" s="5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  <c r="U156" s="8" t="str">
        <f t="shared" si="1"/>
        <v/>
      </c>
      <c r="W156" s="8" t="str">
        <f t="shared" si="3"/>
        <v/>
      </c>
    </row>
    <row r="157">
      <c r="A157" s="4"/>
      <c r="B157" s="4"/>
      <c r="C157" s="4"/>
      <c r="D157" s="4"/>
      <c r="E157" s="4"/>
      <c r="F157" s="5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U157" s="8" t="str">
        <f t="shared" si="1"/>
        <v/>
      </c>
      <c r="W157" s="8" t="str">
        <f t="shared" si="3"/>
        <v/>
      </c>
    </row>
    <row r="158">
      <c r="A158" s="4"/>
      <c r="B158" s="4"/>
      <c r="C158" s="4"/>
      <c r="D158" s="4"/>
      <c r="E158" s="4"/>
      <c r="F158" s="5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U158" s="8" t="str">
        <f t="shared" si="1"/>
        <v/>
      </c>
      <c r="W158" s="8" t="str">
        <f t="shared" si="3"/>
        <v/>
      </c>
    </row>
    <row r="159">
      <c r="A159" s="4"/>
      <c r="B159" s="4"/>
      <c r="C159" s="4"/>
      <c r="D159" s="4"/>
      <c r="E159" s="4"/>
      <c r="F159" s="5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U159" s="8" t="str">
        <f t="shared" si="1"/>
        <v/>
      </c>
      <c r="W159" s="8" t="str">
        <f t="shared" si="3"/>
        <v/>
      </c>
    </row>
    <row r="160">
      <c r="A160" s="4"/>
      <c r="B160" s="4"/>
      <c r="C160" s="4"/>
      <c r="D160" s="4"/>
      <c r="E160" s="4"/>
      <c r="F160" s="5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U160" s="8" t="str">
        <f t="shared" si="1"/>
        <v/>
      </c>
      <c r="W160" s="8" t="str">
        <f t="shared" si="3"/>
        <v/>
      </c>
    </row>
    <row r="161">
      <c r="A161" s="4"/>
      <c r="B161" s="4"/>
      <c r="C161" s="4"/>
      <c r="D161" s="4"/>
      <c r="E161" s="4"/>
      <c r="F161" s="5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U161" s="8" t="str">
        <f t="shared" si="1"/>
        <v/>
      </c>
      <c r="W161" s="8" t="str">
        <f t="shared" si="3"/>
        <v/>
      </c>
    </row>
    <row r="162">
      <c r="A162" s="4"/>
      <c r="B162" s="4"/>
      <c r="C162" s="4"/>
      <c r="D162" s="4"/>
      <c r="E162" s="4"/>
      <c r="F162" s="5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U162" s="8" t="str">
        <f t="shared" si="1"/>
        <v/>
      </c>
      <c r="W162" s="8" t="str">
        <f t="shared" si="3"/>
        <v/>
      </c>
    </row>
    <row r="163">
      <c r="A163" s="4"/>
      <c r="B163" s="4"/>
      <c r="C163" s="4"/>
      <c r="D163" s="4"/>
      <c r="E163" s="4"/>
      <c r="F163" s="5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U163" s="8" t="str">
        <f t="shared" si="1"/>
        <v/>
      </c>
      <c r="W163" s="8" t="str">
        <f t="shared" si="3"/>
        <v/>
      </c>
    </row>
    <row r="164">
      <c r="A164" s="4"/>
      <c r="B164" s="4"/>
      <c r="C164" s="4"/>
      <c r="D164" s="4"/>
      <c r="E164" s="4"/>
      <c r="F164" s="5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U164" s="8" t="str">
        <f t="shared" si="1"/>
        <v/>
      </c>
      <c r="W164" s="8" t="str">
        <f t="shared" si="3"/>
        <v/>
      </c>
    </row>
    <row r="165">
      <c r="A165" s="4"/>
      <c r="B165" s="4"/>
      <c r="C165" s="4"/>
      <c r="D165" s="4"/>
      <c r="E165" s="4"/>
      <c r="F165" s="5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U165" s="8" t="str">
        <f t="shared" si="1"/>
        <v/>
      </c>
      <c r="W165" s="8" t="str">
        <f t="shared" si="3"/>
        <v/>
      </c>
    </row>
    <row r="166">
      <c r="A166" s="4"/>
      <c r="U166" s="8" t="str">
        <f t="shared" si="1"/>
        <v/>
      </c>
      <c r="W166" s="8" t="str">
        <f t="shared" si="3"/>
        <v/>
      </c>
    </row>
    <row r="167">
      <c r="A167" s="4"/>
      <c r="U167" s="8" t="str">
        <f t="shared" si="1"/>
        <v/>
      </c>
      <c r="W167" s="8" t="str">
        <f t="shared" si="3"/>
        <v/>
      </c>
    </row>
    <row r="168">
      <c r="A168" s="4"/>
      <c r="U168" s="8" t="str">
        <f t="shared" si="1"/>
        <v/>
      </c>
      <c r="W168" s="8" t="str">
        <f t="shared" si="3"/>
        <v/>
      </c>
    </row>
    <row r="169">
      <c r="A169" s="4"/>
      <c r="U169" s="8" t="str">
        <f t="shared" si="1"/>
        <v/>
      </c>
      <c r="W169" s="8" t="str">
        <f t="shared" si="3"/>
        <v/>
      </c>
    </row>
    <row r="170">
      <c r="A170" s="4"/>
      <c r="U170" s="8" t="str">
        <f t="shared" si="1"/>
        <v/>
      </c>
      <c r="W170" s="8" t="str">
        <f t="shared" si="3"/>
        <v/>
      </c>
    </row>
    <row r="171">
      <c r="A171" s="4"/>
      <c r="U171" s="8" t="str">
        <f t="shared" si="1"/>
        <v/>
      </c>
      <c r="W171" s="8" t="str">
        <f t="shared" si="3"/>
        <v/>
      </c>
    </row>
    <row r="172">
      <c r="A172" s="4"/>
      <c r="U172" s="8" t="str">
        <f t="shared" si="1"/>
        <v/>
      </c>
      <c r="W172" s="8" t="str">
        <f t="shared" si="3"/>
        <v/>
      </c>
    </row>
    <row r="173">
      <c r="A173" s="4"/>
      <c r="U173" s="8" t="str">
        <f t="shared" si="1"/>
        <v/>
      </c>
      <c r="W173" s="8" t="str">
        <f t="shared" si="3"/>
        <v/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U1" s="3" t="s">
        <v>8</v>
      </c>
      <c r="V1" s="3" t="s">
        <v>9</v>
      </c>
      <c r="W1" s="3" t="s">
        <v>10</v>
      </c>
      <c r="X1" s="3" t="s">
        <v>11</v>
      </c>
    </row>
    <row r="2">
      <c r="A2" s="4">
        <v>1.0</v>
      </c>
      <c r="B2" s="4" t="s">
        <v>293</v>
      </c>
      <c r="C2" s="4" t="s">
        <v>273</v>
      </c>
      <c r="D2" s="4" t="s">
        <v>10</v>
      </c>
      <c r="E2" s="4" t="s">
        <v>190</v>
      </c>
      <c r="F2" s="5">
        <v>11.4</v>
      </c>
      <c r="G2" s="5">
        <v>6.0</v>
      </c>
      <c r="H2" s="6"/>
      <c r="I2" s="6"/>
      <c r="J2" s="6"/>
      <c r="K2" s="6"/>
      <c r="L2" s="7"/>
      <c r="M2" s="7"/>
      <c r="N2" s="7"/>
      <c r="O2" s="7"/>
      <c r="P2" s="7"/>
      <c r="Q2" s="7"/>
      <c r="U2" s="8" t="str">
        <f t="shared" ref="U2:U173" si="1">if($D2=U$1,$F2,"")</f>
        <v/>
      </c>
      <c r="V2" s="8" t="str">
        <f t="shared" ref="V2:V155" si="2">rank(U2,$U$2:$U$173)</f>
        <v>#N/A</v>
      </c>
      <c r="W2" s="8">
        <f t="shared" ref="W2:W173" si="3">if($D2=W$1,$F2,"")</f>
        <v>11.4</v>
      </c>
      <c r="X2" s="8">
        <f t="shared" ref="X2:X155" si="4">rank(W2,$W$2:$W$173)</f>
        <v>1</v>
      </c>
    </row>
    <row r="3">
      <c r="A3" s="4">
        <f t="shared" ref="A3:A155" si="5">A2+1</f>
        <v>2</v>
      </c>
      <c r="B3" s="4" t="s">
        <v>293</v>
      </c>
      <c r="C3" s="4" t="s">
        <v>280</v>
      </c>
      <c r="D3" s="4" t="s">
        <v>8</v>
      </c>
      <c r="E3" s="4" t="s">
        <v>50</v>
      </c>
      <c r="F3" s="5">
        <v>10.0</v>
      </c>
      <c r="G3" s="5">
        <v>1.0</v>
      </c>
      <c r="H3" s="7"/>
      <c r="I3" s="7"/>
      <c r="J3" s="7"/>
      <c r="K3" s="7"/>
      <c r="L3" s="7"/>
      <c r="M3" s="7"/>
      <c r="N3" s="7"/>
      <c r="O3" s="7"/>
      <c r="P3" s="7"/>
      <c r="Q3" s="7"/>
      <c r="U3" s="8">
        <f t="shared" si="1"/>
        <v>10</v>
      </c>
      <c r="V3" s="8">
        <f t="shared" si="2"/>
        <v>1</v>
      </c>
      <c r="W3" s="8" t="str">
        <f t="shared" si="3"/>
        <v/>
      </c>
      <c r="X3" s="8" t="str">
        <f t="shared" si="4"/>
        <v>#N/A</v>
      </c>
    </row>
    <row r="4">
      <c r="A4" s="4">
        <f t="shared" si="5"/>
        <v>3</v>
      </c>
      <c r="B4" s="4" t="s">
        <v>294</v>
      </c>
      <c r="C4" s="4" t="s">
        <v>286</v>
      </c>
      <c r="D4" s="4" t="s">
        <v>10</v>
      </c>
      <c r="E4" s="4" t="s">
        <v>20</v>
      </c>
      <c r="F4" s="5">
        <v>8.8</v>
      </c>
      <c r="G4" s="5">
        <v>3.0</v>
      </c>
      <c r="H4" s="4"/>
      <c r="I4" s="4"/>
      <c r="J4" s="4"/>
      <c r="K4" s="4"/>
      <c r="L4" s="4"/>
      <c r="M4" s="7"/>
      <c r="N4" s="7"/>
      <c r="O4" s="7"/>
      <c r="P4" s="7"/>
      <c r="Q4" s="7"/>
      <c r="U4" s="8" t="str">
        <f t="shared" si="1"/>
        <v/>
      </c>
      <c r="V4" s="8" t="str">
        <f t="shared" si="2"/>
        <v>#N/A</v>
      </c>
      <c r="W4" s="8">
        <f t="shared" si="3"/>
        <v>8.8</v>
      </c>
      <c r="X4" s="8">
        <f t="shared" si="4"/>
        <v>3</v>
      </c>
    </row>
    <row r="5">
      <c r="A5" s="4">
        <f t="shared" si="5"/>
        <v>4</v>
      </c>
      <c r="B5" s="4" t="s">
        <v>294</v>
      </c>
      <c r="C5" s="4" t="s">
        <v>293</v>
      </c>
      <c r="D5" s="4" t="s">
        <v>8</v>
      </c>
      <c r="E5" s="4" t="s">
        <v>81</v>
      </c>
      <c r="F5" s="5">
        <v>7.6</v>
      </c>
      <c r="G5" s="5">
        <v>1.0</v>
      </c>
      <c r="H5" s="7"/>
      <c r="I5" s="7"/>
      <c r="J5" s="7"/>
      <c r="K5" s="7"/>
      <c r="L5" s="7"/>
      <c r="M5" s="7"/>
      <c r="N5" s="7"/>
      <c r="O5" s="7"/>
      <c r="P5" s="7"/>
      <c r="Q5" s="7"/>
      <c r="U5" s="8">
        <f t="shared" si="1"/>
        <v>7.6</v>
      </c>
      <c r="V5" s="8">
        <f t="shared" si="2"/>
        <v>8</v>
      </c>
      <c r="W5" s="8" t="str">
        <f t="shared" si="3"/>
        <v/>
      </c>
      <c r="X5" s="8" t="str">
        <f t="shared" si="4"/>
        <v>#N/A</v>
      </c>
    </row>
    <row r="6">
      <c r="A6" s="4">
        <f t="shared" si="5"/>
        <v>5</v>
      </c>
      <c r="B6" s="4" t="s">
        <v>288</v>
      </c>
      <c r="C6" s="4" t="s">
        <v>294</v>
      </c>
      <c r="D6" s="4" t="s">
        <v>10</v>
      </c>
      <c r="E6" s="4" t="s">
        <v>24</v>
      </c>
      <c r="F6" s="5">
        <v>9.2</v>
      </c>
      <c r="G6" s="5">
        <v>4.0</v>
      </c>
      <c r="H6" s="7"/>
      <c r="I6" s="7"/>
      <c r="J6" s="7"/>
      <c r="K6" s="9"/>
      <c r="L6" s="7"/>
      <c r="M6" s="7"/>
      <c r="N6" s="7"/>
      <c r="O6" s="7"/>
      <c r="P6" s="7"/>
      <c r="Q6" s="7"/>
      <c r="U6" s="8" t="str">
        <f t="shared" si="1"/>
        <v/>
      </c>
      <c r="V6" s="8" t="str">
        <f t="shared" si="2"/>
        <v>#N/A</v>
      </c>
      <c r="W6" s="8">
        <f t="shared" si="3"/>
        <v>9.2</v>
      </c>
      <c r="X6" s="8">
        <f t="shared" si="4"/>
        <v>2</v>
      </c>
    </row>
    <row r="7">
      <c r="A7" s="4">
        <f t="shared" si="5"/>
        <v>6</v>
      </c>
      <c r="B7" s="4" t="s">
        <v>288</v>
      </c>
      <c r="C7" s="4" t="s">
        <v>288</v>
      </c>
      <c r="D7" s="4" t="s">
        <v>8</v>
      </c>
      <c r="E7" s="4" t="s">
        <v>517</v>
      </c>
      <c r="F7" s="5">
        <v>8.7</v>
      </c>
      <c r="G7" s="5">
        <v>1.0</v>
      </c>
      <c r="H7" s="7"/>
      <c r="I7" s="7"/>
      <c r="J7" s="7"/>
      <c r="K7" s="7"/>
      <c r="L7" s="7"/>
      <c r="M7" s="7"/>
      <c r="N7" s="7"/>
      <c r="O7" s="7"/>
      <c r="P7" s="7"/>
      <c r="Q7" s="7"/>
      <c r="U7" s="8">
        <f t="shared" si="1"/>
        <v>8.7</v>
      </c>
      <c r="V7" s="8">
        <f t="shared" si="2"/>
        <v>5</v>
      </c>
      <c r="W7" s="8" t="str">
        <f t="shared" si="3"/>
        <v/>
      </c>
      <c r="X7" s="8" t="str">
        <f t="shared" si="4"/>
        <v>#N/A</v>
      </c>
    </row>
    <row r="8">
      <c r="A8" s="4">
        <f t="shared" si="5"/>
        <v>7</v>
      </c>
      <c r="B8" s="4" t="s">
        <v>280</v>
      </c>
      <c r="C8" s="4" t="s">
        <v>274</v>
      </c>
      <c r="D8" s="4" t="s">
        <v>10</v>
      </c>
      <c r="E8" s="4" t="s">
        <v>85</v>
      </c>
      <c r="F8" s="5">
        <v>6.3</v>
      </c>
      <c r="G8" s="5">
        <v>3.0</v>
      </c>
      <c r="H8" s="6"/>
      <c r="I8" s="7"/>
      <c r="J8" s="7"/>
      <c r="K8" s="7"/>
      <c r="L8" s="7"/>
      <c r="M8" s="7"/>
      <c r="N8" s="7"/>
      <c r="O8" s="7"/>
      <c r="P8" s="7"/>
      <c r="Q8" s="7"/>
      <c r="U8" s="8" t="str">
        <f t="shared" si="1"/>
        <v/>
      </c>
      <c r="V8" s="8" t="str">
        <f t="shared" si="2"/>
        <v>#N/A</v>
      </c>
      <c r="W8" s="8">
        <f t="shared" si="3"/>
        <v>6.3</v>
      </c>
      <c r="X8" s="8">
        <f t="shared" si="4"/>
        <v>6</v>
      </c>
    </row>
    <row r="9">
      <c r="A9" s="4">
        <f t="shared" si="5"/>
        <v>8</v>
      </c>
      <c r="B9" s="4" t="s">
        <v>280</v>
      </c>
      <c r="C9" s="4" t="s">
        <v>287</v>
      </c>
      <c r="D9" s="4" t="s">
        <v>8</v>
      </c>
      <c r="E9" s="4" t="s">
        <v>84</v>
      </c>
      <c r="F9" s="5">
        <v>9.4</v>
      </c>
      <c r="G9" s="5">
        <v>1.0</v>
      </c>
      <c r="H9" s="7"/>
      <c r="I9" s="7"/>
      <c r="J9" s="7"/>
      <c r="K9" s="7"/>
      <c r="L9" s="7"/>
      <c r="M9" s="7"/>
      <c r="N9" s="7"/>
      <c r="O9" s="7"/>
      <c r="P9" s="7"/>
      <c r="Q9" s="7"/>
      <c r="U9" s="8">
        <f t="shared" si="1"/>
        <v>9.4</v>
      </c>
      <c r="V9" s="8">
        <f t="shared" si="2"/>
        <v>2</v>
      </c>
      <c r="W9" s="8" t="str">
        <f t="shared" si="3"/>
        <v/>
      </c>
      <c r="X9" s="8" t="str">
        <f t="shared" si="4"/>
        <v>#N/A</v>
      </c>
    </row>
    <row r="10">
      <c r="A10" s="4">
        <f t="shared" si="5"/>
        <v>9</v>
      </c>
      <c r="B10" s="4" t="s">
        <v>287</v>
      </c>
      <c r="C10" s="4" t="s">
        <v>293</v>
      </c>
      <c r="D10" s="4" t="s">
        <v>10</v>
      </c>
      <c r="E10" s="4" t="s">
        <v>232</v>
      </c>
      <c r="F10" s="5">
        <v>7.4</v>
      </c>
      <c r="G10" s="5">
        <v>3.0</v>
      </c>
      <c r="H10" s="6"/>
      <c r="I10" s="6"/>
      <c r="J10" s="7"/>
      <c r="K10" s="7"/>
      <c r="L10" s="7"/>
      <c r="M10" s="7"/>
      <c r="N10" s="7"/>
      <c r="O10" s="7"/>
      <c r="P10" s="7"/>
      <c r="Q10" s="7"/>
      <c r="U10" s="8" t="str">
        <f t="shared" si="1"/>
        <v/>
      </c>
      <c r="V10" s="8" t="str">
        <f t="shared" si="2"/>
        <v>#N/A</v>
      </c>
      <c r="W10" s="8">
        <f t="shared" si="3"/>
        <v>7.4</v>
      </c>
      <c r="X10" s="8">
        <f t="shared" si="4"/>
        <v>4</v>
      </c>
    </row>
    <row r="11">
      <c r="A11" s="4">
        <f t="shared" si="5"/>
        <v>10</v>
      </c>
      <c r="B11" s="4" t="s">
        <v>287</v>
      </c>
      <c r="C11" s="4" t="s">
        <v>281</v>
      </c>
      <c r="D11" s="4" t="s">
        <v>8</v>
      </c>
      <c r="E11" s="4" t="s">
        <v>126</v>
      </c>
      <c r="F11" s="5">
        <v>8.9</v>
      </c>
      <c r="G11" s="5">
        <v>1.0</v>
      </c>
      <c r="H11" s="7"/>
      <c r="I11" s="7"/>
      <c r="J11" s="7"/>
      <c r="K11" s="7"/>
      <c r="L11" s="7"/>
      <c r="M11" s="7"/>
      <c r="N11" s="7"/>
      <c r="O11" s="7"/>
      <c r="P11" s="7"/>
      <c r="Q11" s="7"/>
      <c r="U11" s="8">
        <f t="shared" si="1"/>
        <v>8.9</v>
      </c>
      <c r="V11" s="8">
        <f t="shared" si="2"/>
        <v>4</v>
      </c>
      <c r="W11" s="8" t="str">
        <f t="shared" si="3"/>
        <v/>
      </c>
      <c r="X11" s="8" t="str">
        <f t="shared" si="4"/>
        <v>#N/A</v>
      </c>
    </row>
    <row r="12">
      <c r="A12" s="4">
        <f t="shared" si="5"/>
        <v>11</v>
      </c>
      <c r="B12" s="4" t="s">
        <v>281</v>
      </c>
      <c r="C12" s="4" t="s">
        <v>288</v>
      </c>
      <c r="D12" s="4" t="s">
        <v>10</v>
      </c>
      <c r="E12" s="4" t="s">
        <v>282</v>
      </c>
      <c r="F12" s="5">
        <v>5.2</v>
      </c>
      <c r="G12" s="5">
        <v>5.0</v>
      </c>
      <c r="H12" s="7"/>
      <c r="I12" s="7"/>
      <c r="J12" s="7"/>
      <c r="K12" s="7"/>
      <c r="L12" s="7"/>
      <c r="M12" s="7"/>
      <c r="N12" s="7"/>
      <c r="O12" s="7"/>
      <c r="P12" s="7"/>
      <c r="Q12" s="7"/>
      <c r="U12" s="8" t="str">
        <f t="shared" si="1"/>
        <v/>
      </c>
      <c r="V12" s="8" t="str">
        <f t="shared" si="2"/>
        <v>#N/A</v>
      </c>
      <c r="W12" s="8">
        <f t="shared" si="3"/>
        <v>5.2</v>
      </c>
      <c r="X12" s="8">
        <f t="shared" si="4"/>
        <v>7</v>
      </c>
    </row>
    <row r="13">
      <c r="A13" s="4">
        <f t="shared" si="5"/>
        <v>12</v>
      </c>
      <c r="B13" s="4" t="s">
        <v>281</v>
      </c>
      <c r="C13" s="4" t="s">
        <v>293</v>
      </c>
      <c r="D13" s="4" t="s">
        <v>8</v>
      </c>
      <c r="E13" s="4" t="s">
        <v>323</v>
      </c>
      <c r="F13" s="5">
        <v>4.6</v>
      </c>
      <c r="G13" s="5">
        <v>3.0</v>
      </c>
      <c r="H13" s="7"/>
      <c r="I13" s="7"/>
      <c r="J13" s="7"/>
      <c r="K13" s="7"/>
      <c r="L13" s="7"/>
      <c r="M13" s="7"/>
      <c r="N13" s="7"/>
      <c r="O13" s="7"/>
      <c r="P13" s="7"/>
      <c r="Q13" s="7"/>
      <c r="U13" s="8">
        <f t="shared" si="1"/>
        <v>4.6</v>
      </c>
      <c r="V13" s="8">
        <f t="shared" si="2"/>
        <v>25</v>
      </c>
      <c r="W13" s="8" t="str">
        <f t="shared" si="3"/>
        <v/>
      </c>
      <c r="X13" s="8" t="str">
        <f t="shared" si="4"/>
        <v>#N/A</v>
      </c>
    </row>
    <row r="14">
      <c r="A14" s="4">
        <f t="shared" si="5"/>
        <v>13</v>
      </c>
      <c r="B14" s="4" t="s">
        <v>273</v>
      </c>
      <c r="C14" s="4" t="s">
        <v>274</v>
      </c>
      <c r="D14" s="4" t="s">
        <v>8</v>
      </c>
      <c r="E14" s="4" t="s">
        <v>473</v>
      </c>
      <c r="F14" s="5">
        <v>8.3</v>
      </c>
      <c r="G14" s="5">
        <v>1.0</v>
      </c>
      <c r="H14" s="6"/>
      <c r="I14" s="6"/>
      <c r="J14" s="6"/>
      <c r="K14" s="6"/>
      <c r="L14" s="7"/>
      <c r="M14" s="7"/>
      <c r="N14" s="7"/>
      <c r="O14" s="7"/>
      <c r="P14" s="7"/>
      <c r="Q14" s="7"/>
      <c r="U14" s="8">
        <f t="shared" si="1"/>
        <v>8.3</v>
      </c>
      <c r="V14" s="8">
        <f t="shared" si="2"/>
        <v>6</v>
      </c>
      <c r="W14" s="8" t="str">
        <f t="shared" si="3"/>
        <v/>
      </c>
      <c r="X14" s="8" t="str">
        <f t="shared" si="4"/>
        <v>#N/A</v>
      </c>
    </row>
    <row r="15">
      <c r="A15" s="4">
        <f t="shared" si="5"/>
        <v>14</v>
      </c>
      <c r="B15" s="4" t="s">
        <v>274</v>
      </c>
      <c r="C15" s="4" t="s">
        <v>273</v>
      </c>
      <c r="D15" s="4" t="s">
        <v>8</v>
      </c>
      <c r="E15" s="4" t="s">
        <v>113</v>
      </c>
      <c r="F15" s="5">
        <v>6.4</v>
      </c>
      <c r="G15" s="5">
        <v>3.0</v>
      </c>
      <c r="H15" s="7"/>
      <c r="I15" s="7"/>
      <c r="J15" s="7"/>
      <c r="K15" s="7"/>
      <c r="L15" s="7"/>
      <c r="M15" s="7"/>
      <c r="N15" s="7"/>
      <c r="O15" s="7"/>
      <c r="P15" s="7"/>
      <c r="Q15" s="7"/>
      <c r="U15" s="8">
        <f t="shared" si="1"/>
        <v>6.4</v>
      </c>
      <c r="V15" s="8">
        <f t="shared" si="2"/>
        <v>11</v>
      </c>
      <c r="W15" s="8" t="str">
        <f t="shared" si="3"/>
        <v/>
      </c>
      <c r="X15" s="8" t="str">
        <f t="shared" si="4"/>
        <v>#N/A</v>
      </c>
    </row>
    <row r="16">
      <c r="A16" s="4">
        <f t="shared" si="5"/>
        <v>15</v>
      </c>
      <c r="B16" s="4" t="s">
        <v>285</v>
      </c>
      <c r="C16" s="4" t="s">
        <v>286</v>
      </c>
      <c r="D16" s="4" t="s">
        <v>10</v>
      </c>
      <c r="E16" s="4" t="s">
        <v>239</v>
      </c>
      <c r="F16" s="5">
        <v>1.7</v>
      </c>
      <c r="G16" s="5">
        <v>2.0</v>
      </c>
      <c r="H16" s="7"/>
      <c r="I16" s="7"/>
      <c r="J16" s="7"/>
      <c r="K16" s="7"/>
      <c r="L16" s="7"/>
      <c r="M16" s="7"/>
      <c r="N16" s="7"/>
      <c r="O16" s="7"/>
      <c r="P16" s="7"/>
      <c r="Q16" s="7"/>
      <c r="U16" s="8" t="str">
        <f t="shared" si="1"/>
        <v/>
      </c>
      <c r="V16" s="8" t="str">
        <f t="shared" si="2"/>
        <v>#N/A</v>
      </c>
      <c r="W16" s="8">
        <f t="shared" si="3"/>
        <v>1.7</v>
      </c>
      <c r="X16" s="8">
        <f t="shared" si="4"/>
        <v>12</v>
      </c>
    </row>
    <row r="17">
      <c r="A17" s="4">
        <f t="shared" si="5"/>
        <v>16</v>
      </c>
      <c r="B17" s="4" t="s">
        <v>285</v>
      </c>
      <c r="C17" s="4" t="s">
        <v>293</v>
      </c>
      <c r="D17" s="4" t="s">
        <v>8</v>
      </c>
      <c r="E17" s="4" t="s">
        <v>429</v>
      </c>
      <c r="F17" s="5">
        <v>3.7</v>
      </c>
      <c r="G17" s="5">
        <v>1.0</v>
      </c>
      <c r="H17" s="7"/>
      <c r="I17" s="7"/>
      <c r="J17" s="7"/>
      <c r="K17" s="7"/>
      <c r="L17" s="7"/>
      <c r="M17" s="7"/>
      <c r="N17" s="7"/>
      <c r="O17" s="7"/>
      <c r="P17" s="7"/>
      <c r="Q17" s="7"/>
      <c r="U17" s="8">
        <f t="shared" si="1"/>
        <v>3.7</v>
      </c>
      <c r="V17" s="8">
        <f t="shared" si="2"/>
        <v>32</v>
      </c>
      <c r="W17" s="8" t="str">
        <f t="shared" si="3"/>
        <v/>
      </c>
      <c r="X17" s="8" t="str">
        <f t="shared" si="4"/>
        <v>#N/A</v>
      </c>
    </row>
    <row r="18">
      <c r="A18" s="4">
        <f t="shared" si="5"/>
        <v>17</v>
      </c>
      <c r="B18" s="4" t="s">
        <v>286</v>
      </c>
      <c r="C18" s="4" t="s">
        <v>285</v>
      </c>
      <c r="D18" s="4" t="s">
        <v>8</v>
      </c>
      <c r="E18" s="4" t="s">
        <v>477</v>
      </c>
      <c r="F18" s="5">
        <v>3.1</v>
      </c>
      <c r="G18" s="5">
        <v>1.0</v>
      </c>
      <c r="H18" s="7"/>
      <c r="I18" s="7"/>
      <c r="J18" s="7"/>
      <c r="K18" s="7"/>
      <c r="L18" s="7"/>
      <c r="M18" s="7"/>
      <c r="N18" s="7"/>
      <c r="O18" s="7"/>
      <c r="P18" s="7"/>
      <c r="Q18" s="7"/>
      <c r="U18" s="8">
        <f t="shared" si="1"/>
        <v>3.1</v>
      </c>
      <c r="V18" s="8">
        <f t="shared" si="2"/>
        <v>38</v>
      </c>
      <c r="W18" s="8" t="str">
        <f t="shared" si="3"/>
        <v/>
      </c>
      <c r="X18" s="8" t="str">
        <f t="shared" si="4"/>
        <v>#N/A</v>
      </c>
    </row>
    <row r="19">
      <c r="A19" s="4">
        <f t="shared" si="5"/>
        <v>18</v>
      </c>
      <c r="B19" s="4" t="s">
        <v>284</v>
      </c>
      <c r="C19" s="4" t="s">
        <v>281</v>
      </c>
      <c r="D19" s="4" t="s">
        <v>10</v>
      </c>
      <c r="E19" s="4" t="s">
        <v>60</v>
      </c>
      <c r="F19" s="5">
        <v>6.5</v>
      </c>
      <c r="G19" s="5">
        <v>4.0</v>
      </c>
      <c r="H19" s="7"/>
      <c r="I19" s="7"/>
      <c r="J19" s="7"/>
      <c r="K19" s="7"/>
      <c r="L19" s="7"/>
      <c r="M19" s="7"/>
      <c r="N19" s="7"/>
      <c r="O19" s="7"/>
      <c r="P19" s="7"/>
      <c r="Q19" s="7"/>
      <c r="U19" s="8" t="str">
        <f t="shared" si="1"/>
        <v/>
      </c>
      <c r="V19" s="8" t="str">
        <f t="shared" si="2"/>
        <v>#N/A</v>
      </c>
      <c r="W19" s="8">
        <f t="shared" si="3"/>
        <v>6.5</v>
      </c>
      <c r="X19" s="8">
        <f t="shared" si="4"/>
        <v>5</v>
      </c>
    </row>
    <row r="20">
      <c r="A20" s="4">
        <f t="shared" si="5"/>
        <v>19</v>
      </c>
      <c r="B20" s="4" t="s">
        <v>284</v>
      </c>
      <c r="C20" s="4" t="s">
        <v>280</v>
      </c>
      <c r="D20" s="4" t="s">
        <v>8</v>
      </c>
      <c r="E20" s="4" t="s">
        <v>93</v>
      </c>
      <c r="F20" s="5">
        <v>6.2</v>
      </c>
      <c r="G20" s="5">
        <v>1.0</v>
      </c>
      <c r="H20" s="7"/>
      <c r="I20" s="7"/>
      <c r="J20" s="7"/>
      <c r="K20" s="7"/>
      <c r="L20" s="7"/>
      <c r="M20" s="7"/>
      <c r="N20" s="7"/>
      <c r="O20" s="7"/>
      <c r="P20" s="7"/>
      <c r="Q20" s="7"/>
      <c r="U20" s="8">
        <f t="shared" si="1"/>
        <v>6.2</v>
      </c>
      <c r="V20" s="8">
        <f t="shared" si="2"/>
        <v>13</v>
      </c>
      <c r="W20" s="8" t="str">
        <f t="shared" si="3"/>
        <v/>
      </c>
      <c r="X20" s="8" t="str">
        <f t="shared" si="4"/>
        <v>#N/A</v>
      </c>
    </row>
    <row r="21">
      <c r="A21" s="4">
        <f t="shared" si="5"/>
        <v>20</v>
      </c>
      <c r="B21" s="4" t="s">
        <v>293</v>
      </c>
      <c r="C21" s="4" t="s">
        <v>287</v>
      </c>
      <c r="D21" s="4" t="s">
        <v>10</v>
      </c>
      <c r="E21" s="4" t="s">
        <v>272</v>
      </c>
      <c r="F21" s="5">
        <v>3.3</v>
      </c>
      <c r="G21" s="5">
        <v>2.0</v>
      </c>
      <c r="H21" s="6"/>
      <c r="I21" s="6"/>
      <c r="J21" s="6"/>
      <c r="K21" s="7"/>
      <c r="L21" s="7"/>
      <c r="M21" s="7"/>
      <c r="N21" s="7"/>
      <c r="O21" s="7"/>
      <c r="P21" s="7"/>
      <c r="Q21" s="7"/>
      <c r="U21" s="8" t="str">
        <f t="shared" si="1"/>
        <v/>
      </c>
      <c r="V21" s="8" t="str">
        <f t="shared" si="2"/>
        <v>#N/A</v>
      </c>
      <c r="W21" s="8">
        <f t="shared" si="3"/>
        <v>3.3</v>
      </c>
      <c r="X21" s="8">
        <f t="shared" si="4"/>
        <v>9</v>
      </c>
    </row>
    <row r="22">
      <c r="A22" s="4">
        <f t="shared" si="5"/>
        <v>21</v>
      </c>
      <c r="B22" s="4" t="s">
        <v>293</v>
      </c>
      <c r="C22" s="4" t="s">
        <v>281</v>
      </c>
      <c r="D22" s="4" t="s">
        <v>8</v>
      </c>
      <c r="E22" s="4" t="s">
        <v>543</v>
      </c>
      <c r="F22" s="5">
        <v>5.5</v>
      </c>
      <c r="G22" s="5">
        <v>3.0</v>
      </c>
      <c r="H22" s="7"/>
      <c r="I22" s="7"/>
      <c r="J22" s="7"/>
      <c r="K22" s="7"/>
      <c r="L22" s="7"/>
      <c r="M22" s="7"/>
      <c r="N22" s="7"/>
      <c r="O22" s="7"/>
      <c r="P22" s="7"/>
      <c r="Q22" s="7"/>
      <c r="U22" s="8">
        <f t="shared" si="1"/>
        <v>5.5</v>
      </c>
      <c r="V22" s="8">
        <f t="shared" si="2"/>
        <v>18</v>
      </c>
      <c r="W22" s="8" t="str">
        <f t="shared" si="3"/>
        <v/>
      </c>
      <c r="X22" s="8" t="str">
        <f t="shared" si="4"/>
        <v>#N/A</v>
      </c>
    </row>
    <row r="23">
      <c r="A23" s="4">
        <f t="shared" si="5"/>
        <v>22</v>
      </c>
      <c r="B23" s="4" t="s">
        <v>294</v>
      </c>
      <c r="C23" s="4" t="s">
        <v>285</v>
      </c>
      <c r="D23" s="4" t="s">
        <v>8</v>
      </c>
      <c r="E23" s="4" t="s">
        <v>241</v>
      </c>
      <c r="F23" s="5">
        <v>5.4</v>
      </c>
      <c r="G23" s="5">
        <v>1.0</v>
      </c>
      <c r="H23" s="7"/>
      <c r="I23" s="7"/>
      <c r="J23" s="7"/>
      <c r="K23" s="7"/>
      <c r="L23" s="7"/>
      <c r="M23" s="7"/>
      <c r="N23" s="7"/>
      <c r="O23" s="7"/>
      <c r="P23" s="7"/>
      <c r="Q23" s="7"/>
      <c r="U23" s="8">
        <f t="shared" si="1"/>
        <v>5.4</v>
      </c>
      <c r="V23" s="8">
        <f t="shared" si="2"/>
        <v>19</v>
      </c>
      <c r="W23" s="8" t="str">
        <f t="shared" si="3"/>
        <v/>
      </c>
      <c r="X23" s="8" t="str">
        <f t="shared" si="4"/>
        <v>#N/A</v>
      </c>
    </row>
    <row r="24">
      <c r="A24" s="4">
        <f t="shared" si="5"/>
        <v>23</v>
      </c>
      <c r="B24" s="4" t="s">
        <v>288</v>
      </c>
      <c r="C24" s="4" t="s">
        <v>287</v>
      </c>
      <c r="D24" s="4" t="s">
        <v>8</v>
      </c>
      <c r="E24" s="4" t="s">
        <v>124</v>
      </c>
      <c r="F24" s="5">
        <v>8.3</v>
      </c>
      <c r="G24" s="5">
        <v>1.0</v>
      </c>
      <c r="H24" s="7"/>
      <c r="I24" s="7"/>
      <c r="J24" s="7"/>
      <c r="K24" s="7"/>
      <c r="L24" s="7"/>
      <c r="M24" s="7"/>
      <c r="N24" s="7"/>
      <c r="O24" s="7"/>
      <c r="P24" s="7"/>
      <c r="Q24" s="7"/>
      <c r="U24" s="8">
        <f t="shared" si="1"/>
        <v>8.3</v>
      </c>
      <c r="V24" s="8">
        <f t="shared" si="2"/>
        <v>6</v>
      </c>
      <c r="W24" s="8" t="str">
        <f t="shared" si="3"/>
        <v/>
      </c>
      <c r="X24" s="8" t="str">
        <f t="shared" si="4"/>
        <v>#N/A</v>
      </c>
    </row>
    <row r="25">
      <c r="A25" s="4">
        <f t="shared" si="5"/>
        <v>24</v>
      </c>
      <c r="B25" s="4" t="s">
        <v>280</v>
      </c>
      <c r="C25" s="4" t="s">
        <v>288</v>
      </c>
      <c r="D25" s="4" t="s">
        <v>10</v>
      </c>
      <c r="E25" s="4" t="s">
        <v>544</v>
      </c>
      <c r="F25" s="5">
        <v>2.9</v>
      </c>
      <c r="G25" s="5">
        <v>2.0</v>
      </c>
      <c r="H25" s="6"/>
      <c r="I25" s="6"/>
      <c r="J25" s="6"/>
      <c r="K25" s="6"/>
      <c r="L25" s="7"/>
      <c r="M25" s="7"/>
      <c r="N25" s="7"/>
      <c r="O25" s="7"/>
      <c r="P25" s="7"/>
      <c r="Q25" s="7"/>
      <c r="U25" s="8" t="str">
        <f t="shared" si="1"/>
        <v/>
      </c>
      <c r="V25" s="8" t="str">
        <f t="shared" si="2"/>
        <v>#N/A</v>
      </c>
      <c r="W25" s="8">
        <f t="shared" si="3"/>
        <v>2.9</v>
      </c>
      <c r="X25" s="8">
        <f t="shared" si="4"/>
        <v>10</v>
      </c>
    </row>
    <row r="26">
      <c r="A26" s="4">
        <f t="shared" si="5"/>
        <v>25</v>
      </c>
      <c r="B26" s="4" t="s">
        <v>280</v>
      </c>
      <c r="C26" s="4" t="s">
        <v>287</v>
      </c>
      <c r="D26" s="4" t="s">
        <v>8</v>
      </c>
      <c r="E26" s="4" t="s">
        <v>103</v>
      </c>
      <c r="F26" s="5">
        <v>4.3</v>
      </c>
      <c r="G26" s="5">
        <v>2.0</v>
      </c>
      <c r="H26" s="7"/>
      <c r="I26" s="7"/>
      <c r="J26" s="7"/>
      <c r="K26" s="7"/>
      <c r="L26" s="7"/>
      <c r="M26" s="7"/>
      <c r="N26" s="7"/>
      <c r="O26" s="7"/>
      <c r="P26" s="7"/>
      <c r="Q26" s="7"/>
      <c r="U26" s="8">
        <f t="shared" si="1"/>
        <v>4.3</v>
      </c>
      <c r="V26" s="8">
        <f t="shared" si="2"/>
        <v>27</v>
      </c>
      <c r="W26" s="8" t="str">
        <f t="shared" si="3"/>
        <v/>
      </c>
      <c r="X26" s="8" t="str">
        <f t="shared" si="4"/>
        <v>#N/A</v>
      </c>
    </row>
    <row r="27">
      <c r="A27" s="4">
        <f t="shared" si="5"/>
        <v>26</v>
      </c>
      <c r="B27" s="4" t="s">
        <v>287</v>
      </c>
      <c r="C27" s="4" t="s">
        <v>285</v>
      </c>
      <c r="D27" s="4" t="s">
        <v>10</v>
      </c>
      <c r="E27" s="4" t="s">
        <v>226</v>
      </c>
      <c r="F27" s="5">
        <v>3.4</v>
      </c>
      <c r="G27" s="5">
        <v>3.0</v>
      </c>
      <c r="H27" s="6"/>
      <c r="I27" s="6"/>
      <c r="J27" s="6"/>
      <c r="K27" s="6"/>
      <c r="L27" s="7"/>
      <c r="M27" s="7"/>
      <c r="N27" s="7"/>
      <c r="O27" s="7"/>
      <c r="P27" s="7"/>
      <c r="Q27" s="7"/>
      <c r="U27" s="8" t="str">
        <f t="shared" si="1"/>
        <v/>
      </c>
      <c r="V27" s="8" t="str">
        <f t="shared" si="2"/>
        <v>#N/A</v>
      </c>
      <c r="W27" s="8">
        <f t="shared" si="3"/>
        <v>3.4</v>
      </c>
      <c r="X27" s="8">
        <f t="shared" si="4"/>
        <v>8</v>
      </c>
    </row>
    <row r="28">
      <c r="A28" s="4">
        <f t="shared" si="5"/>
        <v>27</v>
      </c>
      <c r="B28" s="4" t="s">
        <v>287</v>
      </c>
      <c r="C28" s="4" t="s">
        <v>294</v>
      </c>
      <c r="D28" s="4" t="s">
        <v>8</v>
      </c>
      <c r="E28" s="4" t="s">
        <v>155</v>
      </c>
      <c r="F28" s="5">
        <v>5.4</v>
      </c>
      <c r="G28" s="5">
        <v>2.0</v>
      </c>
      <c r="H28" s="7"/>
      <c r="I28" s="7"/>
      <c r="J28" s="7"/>
      <c r="K28" s="7"/>
      <c r="L28" s="7"/>
      <c r="M28" s="7"/>
      <c r="N28" s="7"/>
      <c r="O28" s="7"/>
      <c r="P28" s="7"/>
      <c r="Q28" s="7"/>
      <c r="U28" s="8">
        <f t="shared" si="1"/>
        <v>5.4</v>
      </c>
      <c r="V28" s="8">
        <f t="shared" si="2"/>
        <v>19</v>
      </c>
      <c r="W28" s="8" t="str">
        <f t="shared" si="3"/>
        <v/>
      </c>
      <c r="X28" s="8" t="str">
        <f t="shared" si="4"/>
        <v>#N/A</v>
      </c>
    </row>
    <row r="29">
      <c r="A29" s="4">
        <f t="shared" si="5"/>
        <v>28</v>
      </c>
      <c r="B29" s="4" t="s">
        <v>281</v>
      </c>
      <c r="C29" s="4" t="s">
        <v>274</v>
      </c>
      <c r="D29" s="4" t="s">
        <v>10</v>
      </c>
      <c r="E29" s="4" t="s">
        <v>545</v>
      </c>
      <c r="F29" s="5">
        <v>1.1</v>
      </c>
      <c r="G29" s="5">
        <v>2.0</v>
      </c>
      <c r="H29" s="7"/>
      <c r="I29" s="7"/>
      <c r="J29" s="7"/>
      <c r="K29" s="7"/>
      <c r="L29" s="7"/>
      <c r="M29" s="7"/>
      <c r="N29" s="7"/>
      <c r="O29" s="7"/>
      <c r="P29" s="7"/>
      <c r="Q29" s="7"/>
      <c r="U29" s="8" t="str">
        <f t="shared" si="1"/>
        <v/>
      </c>
      <c r="V29" s="8" t="str">
        <f t="shared" si="2"/>
        <v>#N/A</v>
      </c>
      <c r="W29" s="8">
        <f t="shared" si="3"/>
        <v>1.1</v>
      </c>
      <c r="X29" s="8">
        <f t="shared" si="4"/>
        <v>14</v>
      </c>
    </row>
    <row r="30">
      <c r="A30" s="4">
        <f t="shared" si="5"/>
        <v>29</v>
      </c>
      <c r="B30" s="4" t="s">
        <v>281</v>
      </c>
      <c r="C30" s="4" t="s">
        <v>273</v>
      </c>
      <c r="D30" s="4" t="s">
        <v>8</v>
      </c>
      <c r="E30" s="4" t="s">
        <v>401</v>
      </c>
      <c r="F30" s="5">
        <v>5.9</v>
      </c>
      <c r="G30" s="5">
        <v>1.0</v>
      </c>
      <c r="H30" s="11"/>
      <c r="I30" s="7"/>
      <c r="J30" s="7"/>
      <c r="K30" s="7"/>
      <c r="L30" s="7"/>
      <c r="M30" s="7"/>
      <c r="N30" s="7"/>
      <c r="O30" s="7"/>
      <c r="P30" s="7"/>
      <c r="Q30" s="7"/>
      <c r="U30" s="8">
        <f t="shared" si="1"/>
        <v>5.9</v>
      </c>
      <c r="V30" s="8">
        <f t="shared" si="2"/>
        <v>15</v>
      </c>
      <c r="W30" s="8" t="str">
        <f t="shared" si="3"/>
        <v/>
      </c>
      <c r="X30" s="8" t="str">
        <f t="shared" si="4"/>
        <v>#N/A</v>
      </c>
    </row>
    <row r="31">
      <c r="A31" s="4">
        <f t="shared" si="5"/>
        <v>30</v>
      </c>
      <c r="B31" s="4" t="s">
        <v>273</v>
      </c>
      <c r="C31" s="4" t="s">
        <v>287</v>
      </c>
      <c r="D31" s="4" t="s">
        <v>10</v>
      </c>
      <c r="E31" s="4" t="s">
        <v>546</v>
      </c>
      <c r="F31" s="5">
        <v>0.7</v>
      </c>
      <c r="G31" s="5">
        <v>1.0</v>
      </c>
      <c r="H31" s="7"/>
      <c r="I31" s="7"/>
      <c r="J31" s="7"/>
      <c r="K31" s="7"/>
      <c r="L31" s="7"/>
      <c r="M31" s="7"/>
      <c r="N31" s="7"/>
      <c r="O31" s="7"/>
      <c r="P31" s="7"/>
      <c r="Q31" s="7"/>
      <c r="U31" s="8" t="str">
        <f t="shared" si="1"/>
        <v/>
      </c>
      <c r="V31" s="8" t="str">
        <f t="shared" si="2"/>
        <v>#N/A</v>
      </c>
      <c r="W31" s="8">
        <f t="shared" si="3"/>
        <v>0.7</v>
      </c>
      <c r="X31" s="8">
        <f t="shared" si="4"/>
        <v>19</v>
      </c>
    </row>
    <row r="32">
      <c r="A32" s="4">
        <f t="shared" si="5"/>
        <v>31</v>
      </c>
      <c r="B32" s="4" t="s">
        <v>273</v>
      </c>
      <c r="C32" s="4" t="s">
        <v>288</v>
      </c>
      <c r="D32" s="4" t="s">
        <v>8</v>
      </c>
      <c r="E32" s="4" t="s">
        <v>328</v>
      </c>
      <c r="F32" s="5">
        <v>5.8</v>
      </c>
      <c r="G32" s="5">
        <v>1.0</v>
      </c>
      <c r="H32" s="7"/>
      <c r="I32" s="7"/>
      <c r="J32" s="7"/>
      <c r="K32" s="7"/>
      <c r="L32" s="7"/>
      <c r="M32" s="7"/>
      <c r="N32" s="7"/>
      <c r="O32" s="7"/>
      <c r="P32" s="7"/>
      <c r="Q32" s="7"/>
      <c r="U32" s="8">
        <f t="shared" si="1"/>
        <v>5.8</v>
      </c>
      <c r="V32" s="8">
        <f t="shared" si="2"/>
        <v>16</v>
      </c>
      <c r="W32" s="8" t="str">
        <f t="shared" si="3"/>
        <v/>
      </c>
      <c r="X32" s="8" t="str">
        <f t="shared" si="4"/>
        <v>#N/A</v>
      </c>
    </row>
    <row r="33">
      <c r="A33" s="4">
        <f t="shared" si="5"/>
        <v>32</v>
      </c>
      <c r="B33" s="4" t="s">
        <v>274</v>
      </c>
      <c r="C33" s="4" t="s">
        <v>274</v>
      </c>
      <c r="D33" s="4" t="s">
        <v>8</v>
      </c>
      <c r="E33" s="4" t="s">
        <v>403</v>
      </c>
      <c r="F33" s="5">
        <v>3.7</v>
      </c>
      <c r="G33" s="5">
        <v>1.0</v>
      </c>
      <c r="H33" s="6"/>
      <c r="I33" s="7"/>
      <c r="J33" s="7"/>
      <c r="K33" s="7"/>
      <c r="L33" s="7"/>
      <c r="M33" s="7"/>
      <c r="N33" s="7"/>
      <c r="O33" s="7"/>
      <c r="P33" s="7"/>
      <c r="Q33" s="7"/>
      <c r="U33" s="8">
        <f t="shared" si="1"/>
        <v>3.7</v>
      </c>
      <c r="V33" s="8">
        <f t="shared" si="2"/>
        <v>32</v>
      </c>
      <c r="W33" s="8" t="str">
        <f t="shared" si="3"/>
        <v/>
      </c>
      <c r="X33" s="8" t="str">
        <f t="shared" si="4"/>
        <v>#N/A</v>
      </c>
    </row>
    <row r="34">
      <c r="A34" s="4">
        <f t="shared" si="5"/>
        <v>33</v>
      </c>
      <c r="B34" s="4" t="s">
        <v>285</v>
      </c>
      <c r="C34" s="4" t="s">
        <v>284</v>
      </c>
      <c r="D34" s="4" t="s">
        <v>10</v>
      </c>
      <c r="E34" s="4" t="s">
        <v>449</v>
      </c>
      <c r="F34" s="5">
        <v>1.7</v>
      </c>
      <c r="G34" s="5">
        <v>2.0</v>
      </c>
      <c r="H34" s="7"/>
      <c r="I34" s="7"/>
      <c r="J34" s="7"/>
      <c r="K34" s="7"/>
      <c r="L34" s="7"/>
      <c r="M34" s="7"/>
      <c r="N34" s="7"/>
      <c r="O34" s="7"/>
      <c r="P34" s="7"/>
      <c r="Q34" s="7"/>
      <c r="U34" s="8" t="str">
        <f t="shared" si="1"/>
        <v/>
      </c>
      <c r="V34" s="8" t="str">
        <f t="shared" si="2"/>
        <v>#N/A</v>
      </c>
      <c r="W34" s="8">
        <f t="shared" si="3"/>
        <v>1.7</v>
      </c>
      <c r="X34" s="8">
        <f t="shared" si="4"/>
        <v>12</v>
      </c>
    </row>
    <row r="35">
      <c r="A35" s="4">
        <f t="shared" si="5"/>
        <v>34</v>
      </c>
      <c r="B35" s="4" t="s">
        <v>285</v>
      </c>
      <c r="C35" s="4" t="s">
        <v>284</v>
      </c>
      <c r="D35" s="4" t="s">
        <v>8</v>
      </c>
      <c r="E35" s="4" t="s">
        <v>527</v>
      </c>
      <c r="F35" s="5">
        <v>1.2</v>
      </c>
      <c r="G35" s="5">
        <v>1.0</v>
      </c>
      <c r="H35" s="7"/>
      <c r="I35" s="7"/>
      <c r="J35" s="7"/>
      <c r="K35" s="7"/>
      <c r="L35" s="7"/>
      <c r="M35" s="7"/>
      <c r="N35" s="7"/>
      <c r="O35" s="7"/>
      <c r="P35" s="7"/>
      <c r="Q35" s="7"/>
      <c r="U35" s="8">
        <f t="shared" si="1"/>
        <v>1.2</v>
      </c>
      <c r="V35" s="8">
        <f t="shared" si="2"/>
        <v>62</v>
      </c>
      <c r="W35" s="8" t="str">
        <f t="shared" si="3"/>
        <v/>
      </c>
      <c r="X35" s="8" t="str">
        <f t="shared" si="4"/>
        <v>#N/A</v>
      </c>
    </row>
    <row r="36">
      <c r="A36" s="4">
        <f t="shared" si="5"/>
        <v>35</v>
      </c>
      <c r="B36" s="4" t="s">
        <v>286</v>
      </c>
      <c r="C36" s="4" t="s">
        <v>284</v>
      </c>
      <c r="D36" s="4" t="s">
        <v>8</v>
      </c>
      <c r="E36" s="4" t="s">
        <v>515</v>
      </c>
      <c r="F36" s="5">
        <v>5.3</v>
      </c>
      <c r="G36" s="5">
        <v>1.0</v>
      </c>
      <c r="H36" s="7"/>
      <c r="I36" s="7"/>
      <c r="J36" s="7"/>
      <c r="K36" s="7"/>
      <c r="L36" s="7"/>
      <c r="M36" s="7"/>
      <c r="N36" s="7"/>
      <c r="O36" s="7"/>
      <c r="P36" s="7"/>
      <c r="Q36" s="7"/>
      <c r="U36" s="8">
        <f t="shared" si="1"/>
        <v>5.3</v>
      </c>
      <c r="V36" s="8">
        <f t="shared" si="2"/>
        <v>21</v>
      </c>
      <c r="W36" s="8" t="str">
        <f t="shared" si="3"/>
        <v/>
      </c>
      <c r="X36" s="8" t="str">
        <f t="shared" si="4"/>
        <v>#N/A</v>
      </c>
    </row>
    <row r="37">
      <c r="A37" s="4">
        <f t="shared" si="5"/>
        <v>36</v>
      </c>
      <c r="B37" s="4" t="s">
        <v>284</v>
      </c>
      <c r="C37" s="4" t="s">
        <v>273</v>
      </c>
      <c r="D37" s="4" t="s">
        <v>8</v>
      </c>
      <c r="E37" s="4" t="s">
        <v>171</v>
      </c>
      <c r="F37" s="5">
        <v>5.3</v>
      </c>
      <c r="G37" s="10">
        <v>1.0</v>
      </c>
      <c r="H37" s="7"/>
      <c r="I37" s="7"/>
      <c r="J37" s="7"/>
      <c r="K37" s="7"/>
      <c r="L37" s="7"/>
      <c r="M37" s="7"/>
      <c r="N37" s="7"/>
      <c r="O37" s="7"/>
      <c r="P37" s="7"/>
      <c r="Q37" s="7"/>
      <c r="U37" s="8">
        <f t="shared" si="1"/>
        <v>5.3</v>
      </c>
      <c r="V37" s="8">
        <f t="shared" si="2"/>
        <v>21</v>
      </c>
      <c r="W37" s="8" t="str">
        <f t="shared" si="3"/>
        <v/>
      </c>
      <c r="X37" s="8" t="str">
        <f t="shared" si="4"/>
        <v>#N/A</v>
      </c>
    </row>
    <row r="38">
      <c r="A38" s="4">
        <f t="shared" si="5"/>
        <v>37</v>
      </c>
      <c r="B38" s="4" t="s">
        <v>293</v>
      </c>
      <c r="C38" s="4" t="s">
        <v>285</v>
      </c>
      <c r="D38" s="4" t="s">
        <v>10</v>
      </c>
      <c r="E38" s="4" t="s">
        <v>322</v>
      </c>
      <c r="F38" s="5">
        <v>2.8</v>
      </c>
      <c r="G38" s="10">
        <v>1.0</v>
      </c>
      <c r="H38" s="7"/>
      <c r="I38" s="7"/>
      <c r="J38" s="7"/>
      <c r="K38" s="7"/>
      <c r="L38" s="7"/>
      <c r="M38" s="7"/>
      <c r="N38" s="7"/>
      <c r="O38" s="7"/>
      <c r="P38" s="7"/>
      <c r="Q38" s="7"/>
      <c r="U38" s="8" t="str">
        <f t="shared" si="1"/>
        <v/>
      </c>
      <c r="V38" s="8" t="str">
        <f t="shared" si="2"/>
        <v>#N/A</v>
      </c>
      <c r="W38" s="8">
        <f t="shared" si="3"/>
        <v>2.8</v>
      </c>
      <c r="X38" s="8">
        <f t="shared" si="4"/>
        <v>11</v>
      </c>
    </row>
    <row r="39">
      <c r="A39" s="4">
        <f t="shared" si="5"/>
        <v>38</v>
      </c>
      <c r="B39" s="4" t="s">
        <v>293</v>
      </c>
      <c r="C39" s="4" t="s">
        <v>293</v>
      </c>
      <c r="D39" s="4" t="s">
        <v>8</v>
      </c>
      <c r="E39" s="4" t="s">
        <v>537</v>
      </c>
      <c r="F39" s="5">
        <v>1.7</v>
      </c>
      <c r="G39" s="10">
        <v>2.0</v>
      </c>
      <c r="H39" s="7"/>
      <c r="I39" s="7"/>
      <c r="J39" s="7"/>
      <c r="K39" s="7"/>
      <c r="L39" s="7"/>
      <c r="M39" s="7"/>
      <c r="N39" s="7"/>
      <c r="O39" s="7"/>
      <c r="P39" s="7"/>
      <c r="Q39" s="7"/>
      <c r="U39" s="8">
        <f t="shared" si="1"/>
        <v>1.7</v>
      </c>
      <c r="V39" s="8">
        <f t="shared" si="2"/>
        <v>51</v>
      </c>
      <c r="W39" s="8" t="str">
        <f t="shared" si="3"/>
        <v/>
      </c>
      <c r="X39" s="8" t="str">
        <f t="shared" si="4"/>
        <v>#N/A</v>
      </c>
    </row>
    <row r="40">
      <c r="A40" s="4">
        <f t="shared" si="5"/>
        <v>39</v>
      </c>
      <c r="B40" s="4" t="s">
        <v>294</v>
      </c>
      <c r="C40" s="4" t="s">
        <v>274</v>
      </c>
      <c r="D40" s="4" t="s">
        <v>10</v>
      </c>
      <c r="E40" s="4" t="s">
        <v>218</v>
      </c>
      <c r="F40" s="5">
        <v>1.1</v>
      </c>
      <c r="G40" s="10">
        <v>2.0</v>
      </c>
      <c r="H40" s="7"/>
      <c r="I40" s="7"/>
      <c r="J40" s="7"/>
      <c r="K40" s="7"/>
      <c r="L40" s="7"/>
      <c r="M40" s="7"/>
      <c r="N40" s="7"/>
      <c r="O40" s="7"/>
      <c r="P40" s="7"/>
      <c r="Q40" s="7"/>
      <c r="U40" s="8" t="str">
        <f t="shared" si="1"/>
        <v/>
      </c>
      <c r="V40" s="8" t="str">
        <f t="shared" si="2"/>
        <v>#N/A</v>
      </c>
      <c r="W40" s="8">
        <f t="shared" si="3"/>
        <v>1.1</v>
      </c>
      <c r="X40" s="8">
        <f t="shared" si="4"/>
        <v>14</v>
      </c>
    </row>
    <row r="41">
      <c r="A41" s="4">
        <f t="shared" si="5"/>
        <v>40</v>
      </c>
      <c r="B41" s="4" t="s">
        <v>294</v>
      </c>
      <c r="C41" s="4" t="s">
        <v>286</v>
      </c>
      <c r="D41" s="4" t="s">
        <v>8</v>
      </c>
      <c r="E41" s="4" t="s">
        <v>106</v>
      </c>
      <c r="F41" s="5">
        <v>9.2</v>
      </c>
      <c r="G41" s="10">
        <v>1.0</v>
      </c>
      <c r="H41" s="11"/>
      <c r="I41" s="7"/>
      <c r="J41" s="7"/>
      <c r="K41" s="7"/>
      <c r="L41" s="7"/>
      <c r="M41" s="7"/>
      <c r="N41" s="7"/>
      <c r="O41" s="7"/>
      <c r="P41" s="7"/>
      <c r="Q41" s="7"/>
      <c r="U41" s="8">
        <f t="shared" si="1"/>
        <v>9.2</v>
      </c>
      <c r="V41" s="8">
        <f t="shared" si="2"/>
        <v>3</v>
      </c>
      <c r="W41" s="8" t="str">
        <f t="shared" si="3"/>
        <v/>
      </c>
      <c r="X41" s="8" t="str">
        <f t="shared" si="4"/>
        <v>#N/A</v>
      </c>
    </row>
    <row r="42">
      <c r="A42" s="4">
        <f t="shared" si="5"/>
        <v>41</v>
      </c>
      <c r="B42" s="4" t="s">
        <v>288</v>
      </c>
      <c r="C42" s="4" t="s">
        <v>285</v>
      </c>
      <c r="D42" s="4" t="s">
        <v>10</v>
      </c>
      <c r="E42" s="4" t="s">
        <v>547</v>
      </c>
      <c r="F42" s="5">
        <v>1.1</v>
      </c>
      <c r="G42" s="10">
        <v>1.0</v>
      </c>
      <c r="H42" s="7"/>
      <c r="I42" s="7"/>
      <c r="J42" s="7"/>
      <c r="K42" s="7"/>
      <c r="L42" s="7"/>
      <c r="M42" s="7"/>
      <c r="N42" s="7"/>
      <c r="O42" s="7"/>
      <c r="P42" s="7"/>
      <c r="Q42" s="7"/>
      <c r="U42" s="8" t="str">
        <f t="shared" si="1"/>
        <v/>
      </c>
      <c r="V42" s="8" t="str">
        <f t="shared" si="2"/>
        <v>#N/A</v>
      </c>
      <c r="W42" s="8">
        <f t="shared" si="3"/>
        <v>1.1</v>
      </c>
      <c r="X42" s="8">
        <f t="shared" si="4"/>
        <v>14</v>
      </c>
    </row>
    <row r="43">
      <c r="A43" s="4">
        <f t="shared" si="5"/>
        <v>42</v>
      </c>
      <c r="B43" s="4" t="s">
        <v>288</v>
      </c>
      <c r="C43" s="4" t="s">
        <v>294</v>
      </c>
      <c r="D43" s="4" t="s">
        <v>8</v>
      </c>
      <c r="E43" s="4" t="s">
        <v>474</v>
      </c>
      <c r="F43" s="5">
        <v>6.8</v>
      </c>
      <c r="G43" s="10">
        <v>1.0</v>
      </c>
      <c r="H43" s="7"/>
      <c r="I43" s="7"/>
      <c r="J43" s="7"/>
      <c r="K43" s="7"/>
      <c r="L43" s="7"/>
      <c r="M43" s="7"/>
      <c r="N43" s="7"/>
      <c r="O43" s="7"/>
      <c r="P43" s="7"/>
      <c r="Q43" s="7"/>
      <c r="U43" s="8">
        <f t="shared" si="1"/>
        <v>6.8</v>
      </c>
      <c r="V43" s="8">
        <f t="shared" si="2"/>
        <v>9</v>
      </c>
      <c r="W43" s="8" t="str">
        <f t="shared" si="3"/>
        <v/>
      </c>
      <c r="X43" s="8" t="str">
        <f t="shared" si="4"/>
        <v>#N/A</v>
      </c>
    </row>
    <row r="44">
      <c r="A44" s="4">
        <f t="shared" si="5"/>
        <v>43</v>
      </c>
      <c r="B44" s="4" t="s">
        <v>280</v>
      </c>
      <c r="C44" s="4" t="s">
        <v>285</v>
      </c>
      <c r="D44" s="4" t="s">
        <v>10</v>
      </c>
      <c r="E44" s="4" t="s">
        <v>461</v>
      </c>
      <c r="F44" s="5">
        <v>1.1</v>
      </c>
      <c r="G44" s="10">
        <v>1.0</v>
      </c>
      <c r="H44" s="6"/>
      <c r="I44" s="7"/>
      <c r="J44" s="7"/>
      <c r="K44" s="7"/>
      <c r="L44" s="7"/>
      <c r="M44" s="7"/>
      <c r="N44" s="7"/>
      <c r="O44" s="7"/>
      <c r="P44" s="7"/>
      <c r="Q44" s="7"/>
      <c r="U44" s="8" t="str">
        <f t="shared" si="1"/>
        <v/>
      </c>
      <c r="V44" s="8" t="str">
        <f t="shared" si="2"/>
        <v>#N/A</v>
      </c>
      <c r="W44" s="8">
        <f t="shared" si="3"/>
        <v>1.1</v>
      </c>
      <c r="X44" s="8">
        <f t="shared" si="4"/>
        <v>14</v>
      </c>
    </row>
    <row r="45">
      <c r="A45" s="4">
        <f t="shared" si="5"/>
        <v>44</v>
      </c>
      <c r="B45" s="4" t="s">
        <v>280</v>
      </c>
      <c r="C45" s="4" t="s">
        <v>284</v>
      </c>
      <c r="D45" s="4" t="s">
        <v>8</v>
      </c>
      <c r="E45" s="4" t="s">
        <v>154</v>
      </c>
      <c r="F45" s="5">
        <v>3.3</v>
      </c>
      <c r="G45" s="10">
        <v>1.0</v>
      </c>
      <c r="H45" s="11"/>
      <c r="I45" s="11"/>
      <c r="J45" s="7"/>
      <c r="K45" s="11"/>
      <c r="L45" s="7"/>
      <c r="M45" s="7"/>
      <c r="N45" s="7"/>
      <c r="O45" s="7"/>
      <c r="P45" s="7"/>
      <c r="Q45" s="7"/>
      <c r="U45" s="8">
        <f t="shared" si="1"/>
        <v>3.3</v>
      </c>
      <c r="V45" s="8">
        <f t="shared" si="2"/>
        <v>35</v>
      </c>
      <c r="W45" s="8" t="str">
        <f t="shared" si="3"/>
        <v/>
      </c>
      <c r="X45" s="8" t="str">
        <f t="shared" si="4"/>
        <v>#N/A</v>
      </c>
    </row>
    <row r="46">
      <c r="A46" s="4">
        <f t="shared" si="5"/>
        <v>45</v>
      </c>
      <c r="B46" s="4" t="s">
        <v>287</v>
      </c>
      <c r="C46" s="4" t="s">
        <v>280</v>
      </c>
      <c r="D46" s="4" t="s">
        <v>8</v>
      </c>
      <c r="E46" s="4" t="s">
        <v>30</v>
      </c>
      <c r="F46" s="5">
        <v>5.8</v>
      </c>
      <c r="G46" s="10">
        <v>2.0</v>
      </c>
      <c r="H46" s="4"/>
      <c r="I46" s="4"/>
      <c r="J46" s="7"/>
      <c r="K46" s="7"/>
      <c r="L46" s="7"/>
      <c r="M46" s="7"/>
      <c r="N46" s="7"/>
      <c r="O46" s="7"/>
      <c r="P46" s="7"/>
      <c r="Q46" s="7"/>
      <c r="U46" s="8">
        <f t="shared" si="1"/>
        <v>5.8</v>
      </c>
      <c r="V46" s="8">
        <f t="shared" si="2"/>
        <v>16</v>
      </c>
      <c r="W46" s="8" t="str">
        <f t="shared" si="3"/>
        <v/>
      </c>
      <c r="X46" s="8" t="str">
        <f t="shared" si="4"/>
        <v>#N/A</v>
      </c>
    </row>
    <row r="47">
      <c r="A47" s="4">
        <f t="shared" si="5"/>
        <v>46</v>
      </c>
      <c r="B47" s="4" t="s">
        <v>281</v>
      </c>
      <c r="C47" s="4" t="s">
        <v>280</v>
      </c>
      <c r="D47" s="4" t="s">
        <v>10</v>
      </c>
      <c r="E47" s="4" t="s">
        <v>548</v>
      </c>
      <c r="F47" s="5">
        <v>0.9</v>
      </c>
      <c r="G47" s="10">
        <v>1.0</v>
      </c>
      <c r="H47" s="7"/>
      <c r="I47" s="7"/>
      <c r="J47" s="7"/>
      <c r="K47" s="11"/>
      <c r="L47" s="11"/>
      <c r="M47" s="7"/>
      <c r="N47" s="7"/>
      <c r="O47" s="7"/>
      <c r="P47" s="7"/>
      <c r="Q47" s="7"/>
      <c r="U47" s="8" t="str">
        <f t="shared" si="1"/>
        <v/>
      </c>
      <c r="V47" s="8" t="str">
        <f t="shared" si="2"/>
        <v>#N/A</v>
      </c>
      <c r="W47" s="8">
        <f t="shared" si="3"/>
        <v>0.9</v>
      </c>
      <c r="X47" s="8">
        <f t="shared" si="4"/>
        <v>18</v>
      </c>
    </row>
    <row r="48">
      <c r="A48" s="4">
        <f t="shared" si="5"/>
        <v>47</v>
      </c>
      <c r="B48" s="4" t="s">
        <v>281</v>
      </c>
      <c r="C48" s="4" t="s">
        <v>288</v>
      </c>
      <c r="D48" s="4" t="s">
        <v>8</v>
      </c>
      <c r="E48" s="4" t="s">
        <v>208</v>
      </c>
      <c r="F48" s="5">
        <v>4.0</v>
      </c>
      <c r="G48" s="10">
        <v>2.0</v>
      </c>
      <c r="H48" s="6"/>
      <c r="I48" s="6"/>
      <c r="J48" s="7"/>
      <c r="K48" s="7"/>
      <c r="L48" s="7"/>
      <c r="M48" s="7"/>
      <c r="N48" s="7"/>
      <c r="O48" s="7"/>
      <c r="P48" s="7"/>
      <c r="Q48" s="7"/>
      <c r="U48" s="8">
        <f t="shared" si="1"/>
        <v>4</v>
      </c>
      <c r="V48" s="8">
        <f t="shared" si="2"/>
        <v>30</v>
      </c>
      <c r="W48" s="8" t="str">
        <f t="shared" si="3"/>
        <v/>
      </c>
      <c r="X48" s="8" t="str">
        <f t="shared" si="4"/>
        <v>#N/A</v>
      </c>
    </row>
    <row r="49">
      <c r="A49" s="4">
        <f t="shared" si="5"/>
        <v>48</v>
      </c>
      <c r="B49" s="4" t="s">
        <v>273</v>
      </c>
      <c r="C49" s="4" t="s">
        <v>285</v>
      </c>
      <c r="D49" s="4" t="s">
        <v>10</v>
      </c>
      <c r="E49" s="4" t="s">
        <v>549</v>
      </c>
      <c r="F49" s="5">
        <v>0.7</v>
      </c>
      <c r="G49" s="10">
        <v>1.0</v>
      </c>
      <c r="H49" s="7"/>
      <c r="I49" s="7"/>
      <c r="J49" s="7"/>
      <c r="K49" s="7"/>
      <c r="L49" s="7"/>
      <c r="M49" s="7"/>
      <c r="N49" s="7"/>
      <c r="O49" s="7"/>
      <c r="P49" s="7"/>
      <c r="Q49" s="7"/>
      <c r="U49" s="8" t="str">
        <f t="shared" si="1"/>
        <v/>
      </c>
      <c r="V49" s="8" t="str">
        <f t="shared" si="2"/>
        <v>#N/A</v>
      </c>
      <c r="W49" s="8">
        <f t="shared" si="3"/>
        <v>0.7</v>
      </c>
      <c r="X49" s="8">
        <f t="shared" si="4"/>
        <v>19</v>
      </c>
    </row>
    <row r="50">
      <c r="A50" s="4">
        <f t="shared" si="5"/>
        <v>49</v>
      </c>
      <c r="B50" s="4" t="s">
        <v>273</v>
      </c>
      <c r="C50" s="4" t="s">
        <v>284</v>
      </c>
      <c r="D50" s="4" t="s">
        <v>8</v>
      </c>
      <c r="E50" s="4" t="s">
        <v>340</v>
      </c>
      <c r="F50" s="5">
        <v>6.1</v>
      </c>
      <c r="G50" s="10">
        <v>1.0</v>
      </c>
      <c r="H50" s="4"/>
      <c r="I50" s="4"/>
      <c r="J50" s="4"/>
      <c r="K50" s="4"/>
      <c r="L50" s="7"/>
      <c r="M50" s="7"/>
      <c r="N50" s="7"/>
      <c r="O50" s="7"/>
      <c r="P50" s="7"/>
      <c r="Q50" s="7"/>
      <c r="U50" s="8">
        <f t="shared" si="1"/>
        <v>6.1</v>
      </c>
      <c r="V50" s="8">
        <f t="shared" si="2"/>
        <v>14</v>
      </c>
      <c r="W50" s="8" t="str">
        <f t="shared" si="3"/>
        <v/>
      </c>
      <c r="X50" s="8" t="str">
        <f t="shared" si="4"/>
        <v>#N/A</v>
      </c>
    </row>
    <row r="51">
      <c r="A51" s="4">
        <f t="shared" si="5"/>
        <v>50</v>
      </c>
      <c r="B51" s="4" t="s">
        <v>274</v>
      </c>
      <c r="C51" s="4" t="s">
        <v>286</v>
      </c>
      <c r="D51" s="4" t="s">
        <v>8</v>
      </c>
      <c r="E51" s="4" t="s">
        <v>333</v>
      </c>
      <c r="F51" s="5">
        <v>4.3</v>
      </c>
      <c r="G51" s="10">
        <v>1.0</v>
      </c>
      <c r="H51" s="7"/>
      <c r="I51" s="7"/>
      <c r="J51" s="7"/>
      <c r="K51" s="7"/>
      <c r="L51" s="7"/>
      <c r="M51" s="7"/>
      <c r="N51" s="7"/>
      <c r="O51" s="7"/>
      <c r="P51" s="7"/>
      <c r="Q51" s="7"/>
      <c r="U51" s="8">
        <f t="shared" si="1"/>
        <v>4.3</v>
      </c>
      <c r="V51" s="8">
        <f t="shared" si="2"/>
        <v>27</v>
      </c>
      <c r="W51" s="8" t="str">
        <f t="shared" si="3"/>
        <v/>
      </c>
      <c r="X51" s="8" t="str">
        <f t="shared" si="4"/>
        <v>#N/A</v>
      </c>
    </row>
    <row r="52">
      <c r="A52" s="4">
        <f t="shared" si="5"/>
        <v>51</v>
      </c>
      <c r="B52" s="4" t="s">
        <v>285</v>
      </c>
      <c r="C52" s="4" t="s">
        <v>288</v>
      </c>
      <c r="D52" s="4" t="s">
        <v>8</v>
      </c>
      <c r="E52" s="4" t="s">
        <v>404</v>
      </c>
      <c r="F52" s="5">
        <v>1.8</v>
      </c>
      <c r="G52" s="10">
        <v>1.0</v>
      </c>
      <c r="H52" s="6"/>
      <c r="I52" s="6"/>
      <c r="J52" s="7"/>
      <c r="K52" s="7"/>
      <c r="L52" s="7"/>
      <c r="M52" s="7"/>
      <c r="N52" s="7"/>
      <c r="O52" s="7"/>
      <c r="P52" s="7"/>
      <c r="Q52" s="7"/>
      <c r="U52" s="8">
        <f t="shared" si="1"/>
        <v>1.8</v>
      </c>
      <c r="V52" s="8">
        <f t="shared" si="2"/>
        <v>49</v>
      </c>
      <c r="W52" s="8" t="str">
        <f t="shared" si="3"/>
        <v/>
      </c>
      <c r="X52" s="8" t="str">
        <f t="shared" si="4"/>
        <v>#N/A</v>
      </c>
    </row>
    <row r="53">
      <c r="A53" s="4">
        <f t="shared" si="5"/>
        <v>52</v>
      </c>
      <c r="B53" s="4" t="s">
        <v>286</v>
      </c>
      <c r="C53" s="4" t="s">
        <v>286</v>
      </c>
      <c r="D53" s="4" t="s">
        <v>8</v>
      </c>
      <c r="E53" s="4" t="s">
        <v>400</v>
      </c>
      <c r="F53" s="5">
        <v>6.4</v>
      </c>
      <c r="G53" s="10">
        <v>1.0</v>
      </c>
      <c r="H53" s="7"/>
      <c r="I53" s="7"/>
      <c r="J53" s="7"/>
      <c r="K53" s="7"/>
      <c r="L53" s="7"/>
      <c r="M53" s="7"/>
      <c r="N53" s="7"/>
      <c r="O53" s="7"/>
      <c r="P53" s="7"/>
      <c r="Q53" s="7"/>
      <c r="U53" s="8">
        <f t="shared" si="1"/>
        <v>6.4</v>
      </c>
      <c r="V53" s="8">
        <f t="shared" si="2"/>
        <v>11</v>
      </c>
      <c r="W53" s="8" t="str">
        <f t="shared" si="3"/>
        <v/>
      </c>
      <c r="X53" s="8" t="str">
        <f t="shared" si="4"/>
        <v>#N/A</v>
      </c>
    </row>
    <row r="54">
      <c r="A54" s="4">
        <f t="shared" si="5"/>
        <v>53</v>
      </c>
      <c r="B54" s="4" t="s">
        <v>284</v>
      </c>
      <c r="C54" s="4" t="s">
        <v>285</v>
      </c>
      <c r="D54" s="4" t="s">
        <v>8</v>
      </c>
      <c r="E54" s="4" t="s">
        <v>447</v>
      </c>
      <c r="F54" s="5">
        <v>3.2</v>
      </c>
      <c r="G54" s="10">
        <v>1.0</v>
      </c>
      <c r="H54" s="7"/>
      <c r="I54" s="7"/>
      <c r="J54" s="7"/>
      <c r="K54" s="7"/>
      <c r="L54" s="7"/>
      <c r="M54" s="7"/>
      <c r="N54" s="7"/>
      <c r="O54" s="7"/>
      <c r="P54" s="7"/>
      <c r="Q54" s="7"/>
      <c r="U54" s="8">
        <f t="shared" si="1"/>
        <v>3.2</v>
      </c>
      <c r="V54" s="8">
        <f t="shared" si="2"/>
        <v>36</v>
      </c>
      <c r="W54" s="8" t="str">
        <f t="shared" si="3"/>
        <v/>
      </c>
      <c r="X54" s="8" t="str">
        <f t="shared" si="4"/>
        <v>#N/A</v>
      </c>
    </row>
    <row r="55">
      <c r="A55" s="4">
        <f t="shared" si="5"/>
        <v>54</v>
      </c>
      <c r="B55" s="4" t="s">
        <v>293</v>
      </c>
      <c r="C55" s="4" t="s">
        <v>285</v>
      </c>
      <c r="D55" s="4" t="s">
        <v>8</v>
      </c>
      <c r="E55" s="4" t="s">
        <v>96</v>
      </c>
      <c r="F55" s="5">
        <v>5.1</v>
      </c>
      <c r="G55" s="10">
        <v>1.0</v>
      </c>
      <c r="H55" s="7"/>
      <c r="I55" s="7"/>
      <c r="J55" s="7"/>
      <c r="K55" s="7"/>
      <c r="L55" s="7"/>
      <c r="M55" s="7"/>
      <c r="N55" s="7"/>
      <c r="O55" s="7"/>
      <c r="P55" s="7"/>
      <c r="Q55" s="7"/>
      <c r="U55" s="8">
        <f t="shared" si="1"/>
        <v>5.1</v>
      </c>
      <c r="V55" s="8">
        <f t="shared" si="2"/>
        <v>24</v>
      </c>
      <c r="W55" s="8" t="str">
        <f t="shared" si="3"/>
        <v/>
      </c>
      <c r="X55" s="8" t="str">
        <f t="shared" si="4"/>
        <v>#N/A</v>
      </c>
    </row>
    <row r="56">
      <c r="A56" s="4">
        <f t="shared" si="5"/>
        <v>55</v>
      </c>
      <c r="B56" s="4" t="s">
        <v>294</v>
      </c>
      <c r="C56" s="4" t="s">
        <v>273</v>
      </c>
      <c r="D56" s="4" t="s">
        <v>8</v>
      </c>
      <c r="E56" s="4" t="s">
        <v>104</v>
      </c>
      <c r="F56" s="5">
        <v>5.2</v>
      </c>
      <c r="G56" s="10">
        <v>1.0</v>
      </c>
      <c r="H56" s="7"/>
      <c r="I56" s="7"/>
      <c r="J56" s="7"/>
      <c r="K56" s="7"/>
      <c r="L56" s="7"/>
      <c r="M56" s="7"/>
      <c r="N56" s="7"/>
      <c r="O56" s="7"/>
      <c r="P56" s="7"/>
      <c r="Q56" s="7"/>
      <c r="U56" s="8">
        <f t="shared" si="1"/>
        <v>5.2</v>
      </c>
      <c r="V56" s="8">
        <f t="shared" si="2"/>
        <v>23</v>
      </c>
      <c r="W56" s="8" t="str">
        <f t="shared" si="3"/>
        <v/>
      </c>
      <c r="X56" s="8" t="str">
        <f t="shared" si="4"/>
        <v>#N/A</v>
      </c>
    </row>
    <row r="57">
      <c r="A57" s="4">
        <f t="shared" si="5"/>
        <v>56</v>
      </c>
      <c r="B57" s="4" t="s">
        <v>288</v>
      </c>
      <c r="C57" s="4" t="s">
        <v>286</v>
      </c>
      <c r="D57" s="4" t="s">
        <v>8</v>
      </c>
      <c r="E57" s="4" t="s">
        <v>128</v>
      </c>
      <c r="F57" s="5">
        <v>6.5</v>
      </c>
      <c r="G57" s="10">
        <v>1.0</v>
      </c>
      <c r="H57" s="7"/>
      <c r="I57" s="7"/>
      <c r="J57" s="7"/>
      <c r="K57" s="7"/>
      <c r="L57" s="7"/>
      <c r="M57" s="7"/>
      <c r="N57" s="7"/>
      <c r="O57" s="7"/>
      <c r="P57" s="7"/>
      <c r="Q57" s="7"/>
      <c r="U57" s="8">
        <f t="shared" si="1"/>
        <v>6.5</v>
      </c>
      <c r="V57" s="8">
        <f t="shared" si="2"/>
        <v>10</v>
      </c>
      <c r="W57" s="8" t="str">
        <f t="shared" si="3"/>
        <v/>
      </c>
      <c r="X57" s="8" t="str">
        <f t="shared" si="4"/>
        <v>#N/A</v>
      </c>
    </row>
    <row r="58">
      <c r="A58" s="4">
        <f t="shared" si="5"/>
        <v>57</v>
      </c>
      <c r="B58" s="4" t="s">
        <v>280</v>
      </c>
      <c r="C58" s="4" t="s">
        <v>284</v>
      </c>
      <c r="D58" s="4" t="s">
        <v>8</v>
      </c>
      <c r="E58" s="4" t="s">
        <v>413</v>
      </c>
      <c r="F58" s="5">
        <v>2.0</v>
      </c>
      <c r="G58" s="10">
        <v>1.0</v>
      </c>
      <c r="H58" s="7"/>
      <c r="I58" s="7"/>
      <c r="J58" s="7"/>
      <c r="K58" s="7"/>
      <c r="L58" s="7"/>
      <c r="M58" s="7"/>
      <c r="N58" s="7"/>
      <c r="O58" s="7"/>
      <c r="P58" s="7"/>
      <c r="Q58" s="7"/>
      <c r="U58" s="8">
        <f t="shared" si="1"/>
        <v>2</v>
      </c>
      <c r="V58" s="8">
        <f t="shared" si="2"/>
        <v>47</v>
      </c>
      <c r="W58" s="8" t="str">
        <f t="shared" si="3"/>
        <v/>
      </c>
      <c r="X58" s="8" t="str">
        <f t="shared" si="4"/>
        <v>#N/A</v>
      </c>
    </row>
    <row r="59">
      <c r="A59" s="4">
        <f t="shared" si="5"/>
        <v>58</v>
      </c>
      <c r="B59" s="4" t="s">
        <v>287</v>
      </c>
      <c r="C59" s="4" t="s">
        <v>285</v>
      </c>
      <c r="D59" s="4" t="s">
        <v>8</v>
      </c>
      <c r="E59" s="4" t="s">
        <v>135</v>
      </c>
      <c r="F59" s="5">
        <v>3.9</v>
      </c>
      <c r="G59" s="10">
        <v>1.0</v>
      </c>
      <c r="H59" s="7"/>
      <c r="I59" s="7"/>
      <c r="J59" s="7"/>
      <c r="K59" s="7"/>
      <c r="L59" s="7"/>
      <c r="M59" s="7"/>
      <c r="N59" s="7"/>
      <c r="O59" s="7"/>
      <c r="P59" s="7"/>
      <c r="Q59" s="7"/>
      <c r="U59" s="8">
        <f t="shared" si="1"/>
        <v>3.9</v>
      </c>
      <c r="V59" s="8">
        <f t="shared" si="2"/>
        <v>31</v>
      </c>
      <c r="W59" s="8" t="str">
        <f t="shared" si="3"/>
        <v/>
      </c>
      <c r="X59" s="8" t="str">
        <f t="shared" si="4"/>
        <v>#N/A</v>
      </c>
    </row>
    <row r="60">
      <c r="A60" s="4">
        <f t="shared" si="5"/>
        <v>59</v>
      </c>
      <c r="B60" s="4" t="s">
        <v>281</v>
      </c>
      <c r="C60" s="4" t="s">
        <v>294</v>
      </c>
      <c r="D60" s="4" t="s">
        <v>8</v>
      </c>
      <c r="E60" s="4" t="s">
        <v>234</v>
      </c>
      <c r="F60" s="5">
        <v>3.2</v>
      </c>
      <c r="G60" s="10">
        <v>3.0</v>
      </c>
      <c r="H60" s="7"/>
      <c r="I60" s="7"/>
      <c r="J60" s="7"/>
      <c r="K60" s="7"/>
      <c r="L60" s="7"/>
      <c r="M60" s="7"/>
      <c r="N60" s="7"/>
      <c r="O60" s="7"/>
      <c r="P60" s="7"/>
      <c r="Q60" s="7"/>
      <c r="U60" s="8">
        <f t="shared" si="1"/>
        <v>3.2</v>
      </c>
      <c r="V60" s="8">
        <f t="shared" si="2"/>
        <v>36</v>
      </c>
      <c r="W60" s="8" t="str">
        <f t="shared" si="3"/>
        <v/>
      </c>
      <c r="X60" s="8" t="str">
        <f t="shared" si="4"/>
        <v>#N/A</v>
      </c>
    </row>
    <row r="61">
      <c r="A61" s="4">
        <f t="shared" si="5"/>
        <v>60</v>
      </c>
      <c r="B61" s="4" t="s">
        <v>273</v>
      </c>
      <c r="C61" s="4" t="s">
        <v>286</v>
      </c>
      <c r="D61" s="4" t="s">
        <v>8</v>
      </c>
      <c r="E61" s="4" t="s">
        <v>535</v>
      </c>
      <c r="F61" s="5">
        <v>2.1</v>
      </c>
      <c r="G61" s="10">
        <v>1.0</v>
      </c>
      <c r="H61" s="7"/>
      <c r="I61" s="7"/>
      <c r="J61" s="7"/>
      <c r="K61" s="7"/>
      <c r="L61" s="7"/>
      <c r="M61" s="7"/>
      <c r="N61" s="7"/>
      <c r="O61" s="7"/>
      <c r="P61" s="7"/>
      <c r="Q61" s="7"/>
      <c r="U61" s="8">
        <f t="shared" si="1"/>
        <v>2.1</v>
      </c>
      <c r="V61" s="8">
        <f t="shared" si="2"/>
        <v>44</v>
      </c>
      <c r="W61" s="8" t="str">
        <f t="shared" si="3"/>
        <v/>
      </c>
      <c r="X61" s="8" t="str">
        <f t="shared" si="4"/>
        <v>#N/A</v>
      </c>
    </row>
    <row r="62">
      <c r="A62" s="4">
        <f t="shared" si="5"/>
        <v>61</v>
      </c>
      <c r="B62" s="4" t="s">
        <v>274</v>
      </c>
      <c r="C62" s="4" t="s">
        <v>274</v>
      </c>
      <c r="D62" s="4" t="s">
        <v>8</v>
      </c>
      <c r="E62" s="4" t="s">
        <v>147</v>
      </c>
      <c r="F62" s="5">
        <v>0.7</v>
      </c>
      <c r="G62" s="10">
        <v>1.0</v>
      </c>
      <c r="H62" s="6"/>
      <c r="I62" s="7"/>
      <c r="J62" s="7"/>
      <c r="K62" s="7"/>
      <c r="L62" s="7"/>
      <c r="M62" s="7"/>
      <c r="N62" s="7"/>
      <c r="O62" s="7"/>
      <c r="P62" s="7"/>
      <c r="Q62" s="7"/>
      <c r="U62" s="8">
        <f t="shared" si="1"/>
        <v>0.7</v>
      </c>
      <c r="V62" s="8">
        <f t="shared" si="2"/>
        <v>90</v>
      </c>
      <c r="W62" s="8" t="str">
        <f t="shared" si="3"/>
        <v/>
      </c>
      <c r="X62" s="8" t="str">
        <f t="shared" si="4"/>
        <v>#N/A</v>
      </c>
    </row>
    <row r="63">
      <c r="A63" s="4">
        <f t="shared" si="5"/>
        <v>62</v>
      </c>
      <c r="B63" s="4" t="s">
        <v>285</v>
      </c>
      <c r="C63" s="4" t="s">
        <v>294</v>
      </c>
      <c r="D63" s="4" t="s">
        <v>8</v>
      </c>
      <c r="E63" s="4" t="s">
        <v>531</v>
      </c>
      <c r="F63" s="5">
        <v>1.0</v>
      </c>
      <c r="G63" s="10">
        <v>1.0</v>
      </c>
      <c r="H63" s="7"/>
      <c r="I63" s="7"/>
      <c r="J63" s="7"/>
      <c r="K63" s="7"/>
      <c r="L63" s="7"/>
      <c r="M63" s="7"/>
      <c r="N63" s="7"/>
      <c r="O63" s="7"/>
      <c r="P63" s="7"/>
      <c r="Q63" s="7"/>
      <c r="U63" s="8">
        <f t="shared" si="1"/>
        <v>1</v>
      </c>
      <c r="V63" s="8">
        <f t="shared" si="2"/>
        <v>71</v>
      </c>
      <c r="W63" s="8" t="str">
        <f t="shared" si="3"/>
        <v/>
      </c>
      <c r="X63" s="8" t="str">
        <f t="shared" si="4"/>
        <v>#N/A</v>
      </c>
    </row>
    <row r="64">
      <c r="A64" s="4">
        <f t="shared" si="5"/>
        <v>63</v>
      </c>
      <c r="B64" s="4" t="s">
        <v>286</v>
      </c>
      <c r="C64" s="4" t="s">
        <v>294</v>
      </c>
      <c r="D64" s="4" t="s">
        <v>8</v>
      </c>
      <c r="E64" s="4" t="s">
        <v>498</v>
      </c>
      <c r="F64" s="5">
        <v>4.6</v>
      </c>
      <c r="G64" s="10">
        <v>2.0</v>
      </c>
      <c r="H64" s="7"/>
      <c r="I64" s="7"/>
      <c r="J64" s="7"/>
      <c r="K64" s="7"/>
      <c r="L64" s="7"/>
      <c r="M64" s="7"/>
      <c r="N64" s="7"/>
      <c r="O64" s="7"/>
      <c r="P64" s="7"/>
      <c r="Q64" s="7"/>
      <c r="U64" s="8">
        <f t="shared" si="1"/>
        <v>4.6</v>
      </c>
      <c r="V64" s="8">
        <f t="shared" si="2"/>
        <v>25</v>
      </c>
      <c r="W64" s="8" t="str">
        <f t="shared" si="3"/>
        <v/>
      </c>
      <c r="X64" s="8" t="str">
        <f t="shared" si="4"/>
        <v>#N/A</v>
      </c>
    </row>
    <row r="65">
      <c r="A65" s="4">
        <f t="shared" si="5"/>
        <v>64</v>
      </c>
      <c r="B65" s="4" t="s">
        <v>284</v>
      </c>
      <c r="C65" s="4" t="s">
        <v>285</v>
      </c>
      <c r="D65" s="4" t="s">
        <v>8</v>
      </c>
      <c r="E65" s="4" t="s">
        <v>523</v>
      </c>
      <c r="F65" s="5">
        <v>2.5</v>
      </c>
      <c r="G65" s="10">
        <v>1.0</v>
      </c>
      <c r="H65" s="7"/>
      <c r="I65" s="7"/>
      <c r="J65" s="7"/>
      <c r="K65" s="7"/>
      <c r="L65" s="7"/>
      <c r="M65" s="7"/>
      <c r="N65" s="7"/>
      <c r="O65" s="7"/>
      <c r="P65" s="7"/>
      <c r="Q65" s="7"/>
      <c r="U65" s="8">
        <f t="shared" si="1"/>
        <v>2.5</v>
      </c>
      <c r="V65" s="8">
        <f t="shared" si="2"/>
        <v>41</v>
      </c>
      <c r="W65" s="8" t="str">
        <f t="shared" si="3"/>
        <v/>
      </c>
      <c r="X65" s="8" t="str">
        <f t="shared" si="4"/>
        <v>#N/A</v>
      </c>
    </row>
    <row r="66">
      <c r="A66" s="4">
        <f t="shared" si="5"/>
        <v>65</v>
      </c>
      <c r="B66" s="4" t="s">
        <v>293</v>
      </c>
      <c r="C66" s="4" t="s">
        <v>280</v>
      </c>
      <c r="D66" s="4" t="s">
        <v>8</v>
      </c>
      <c r="E66" s="4" t="s">
        <v>451</v>
      </c>
      <c r="F66" s="5">
        <v>1.2</v>
      </c>
      <c r="G66" s="10">
        <v>1.0</v>
      </c>
      <c r="H66" s="7"/>
      <c r="I66" s="7"/>
      <c r="J66" s="7"/>
      <c r="K66" s="7"/>
      <c r="L66" s="7"/>
      <c r="M66" s="7"/>
      <c r="N66" s="7"/>
      <c r="O66" s="7"/>
      <c r="P66" s="7"/>
      <c r="Q66" s="7"/>
      <c r="U66" s="8">
        <f t="shared" si="1"/>
        <v>1.2</v>
      </c>
      <c r="V66" s="8">
        <f t="shared" si="2"/>
        <v>62</v>
      </c>
      <c r="W66" s="8" t="str">
        <f t="shared" si="3"/>
        <v/>
      </c>
      <c r="X66" s="8" t="str">
        <f t="shared" si="4"/>
        <v>#N/A</v>
      </c>
    </row>
    <row r="67">
      <c r="A67" s="4">
        <f t="shared" si="5"/>
        <v>66</v>
      </c>
      <c r="B67" s="4" t="s">
        <v>294</v>
      </c>
      <c r="C67" s="4" t="s">
        <v>287</v>
      </c>
      <c r="D67" s="4" t="s">
        <v>8</v>
      </c>
      <c r="E67" s="4" t="s">
        <v>550</v>
      </c>
      <c r="F67" s="5">
        <v>0.9</v>
      </c>
      <c r="G67" s="10">
        <v>1.0</v>
      </c>
      <c r="H67" s="7"/>
      <c r="I67" s="12"/>
      <c r="J67" s="7"/>
      <c r="K67" s="7"/>
      <c r="L67" s="7"/>
      <c r="M67" s="7"/>
      <c r="N67" s="7"/>
      <c r="O67" s="7"/>
      <c r="P67" s="7"/>
      <c r="Q67" s="7"/>
      <c r="U67" s="8">
        <f t="shared" si="1"/>
        <v>0.9</v>
      </c>
      <c r="V67" s="8">
        <f t="shared" si="2"/>
        <v>77</v>
      </c>
      <c r="W67" s="8" t="str">
        <f t="shared" si="3"/>
        <v/>
      </c>
      <c r="X67" s="8" t="str">
        <f t="shared" si="4"/>
        <v>#N/A</v>
      </c>
    </row>
    <row r="68">
      <c r="A68" s="4">
        <f t="shared" si="5"/>
        <v>67</v>
      </c>
      <c r="B68" s="4" t="s">
        <v>288</v>
      </c>
      <c r="C68" s="4" t="s">
        <v>284</v>
      </c>
      <c r="D68" s="4" t="s">
        <v>8</v>
      </c>
      <c r="E68" s="4" t="s">
        <v>351</v>
      </c>
      <c r="F68" s="5">
        <v>3.7</v>
      </c>
      <c r="G68" s="10">
        <v>1.0</v>
      </c>
      <c r="H68" s="7"/>
      <c r="I68" s="7"/>
      <c r="J68" s="7"/>
      <c r="K68" s="7"/>
      <c r="L68" s="7"/>
      <c r="M68" s="7"/>
      <c r="N68" s="7"/>
      <c r="O68" s="7"/>
      <c r="P68" s="7"/>
      <c r="Q68" s="7"/>
      <c r="U68" s="8">
        <f t="shared" si="1"/>
        <v>3.7</v>
      </c>
      <c r="V68" s="8">
        <f t="shared" si="2"/>
        <v>32</v>
      </c>
      <c r="W68" s="8" t="str">
        <f t="shared" si="3"/>
        <v/>
      </c>
      <c r="X68" s="8" t="str">
        <f t="shared" si="4"/>
        <v>#N/A</v>
      </c>
    </row>
    <row r="69">
      <c r="A69" s="4">
        <f t="shared" si="5"/>
        <v>68</v>
      </c>
      <c r="B69" s="4" t="s">
        <v>280</v>
      </c>
      <c r="C69" s="4" t="s">
        <v>285</v>
      </c>
      <c r="D69" s="4" t="s">
        <v>8</v>
      </c>
      <c r="E69" s="4" t="s">
        <v>488</v>
      </c>
      <c r="F69" s="5">
        <v>1.5</v>
      </c>
      <c r="G69" s="10">
        <v>1.0</v>
      </c>
      <c r="H69" s="7"/>
      <c r="I69" s="7"/>
      <c r="J69" s="7"/>
      <c r="K69" s="7"/>
      <c r="L69" s="7"/>
      <c r="M69" s="7"/>
      <c r="N69" s="7"/>
      <c r="O69" s="7"/>
      <c r="P69" s="7"/>
      <c r="Q69" s="7"/>
      <c r="U69" s="8">
        <f t="shared" si="1"/>
        <v>1.5</v>
      </c>
      <c r="V69" s="8">
        <f t="shared" si="2"/>
        <v>55</v>
      </c>
      <c r="W69" s="8" t="str">
        <f t="shared" si="3"/>
        <v/>
      </c>
      <c r="X69" s="8" t="str">
        <f t="shared" si="4"/>
        <v>#N/A</v>
      </c>
    </row>
    <row r="70">
      <c r="A70" s="4">
        <f t="shared" si="5"/>
        <v>69</v>
      </c>
      <c r="B70" s="4" t="s">
        <v>287</v>
      </c>
      <c r="C70" s="4" t="s">
        <v>287</v>
      </c>
      <c r="D70" s="4" t="s">
        <v>8</v>
      </c>
      <c r="E70" s="4" t="s">
        <v>224</v>
      </c>
      <c r="F70" s="5">
        <v>0.7</v>
      </c>
      <c r="G70" s="10">
        <v>5.0</v>
      </c>
      <c r="H70" s="7"/>
      <c r="I70" s="7"/>
      <c r="J70" s="7"/>
      <c r="K70" s="7"/>
      <c r="L70" s="7"/>
      <c r="M70" s="7"/>
      <c r="N70" s="7"/>
      <c r="O70" s="7"/>
      <c r="P70" s="7"/>
      <c r="Q70" s="7"/>
      <c r="U70" s="8">
        <f t="shared" si="1"/>
        <v>0.7</v>
      </c>
      <c r="V70" s="8">
        <f t="shared" si="2"/>
        <v>90</v>
      </c>
      <c r="W70" s="8" t="str">
        <f t="shared" si="3"/>
        <v/>
      </c>
      <c r="X70" s="8" t="str">
        <f t="shared" si="4"/>
        <v>#N/A</v>
      </c>
    </row>
    <row r="71">
      <c r="A71" s="4">
        <f t="shared" si="5"/>
        <v>70</v>
      </c>
      <c r="B71" s="4" t="s">
        <v>281</v>
      </c>
      <c r="C71" s="4" t="s">
        <v>294</v>
      </c>
      <c r="D71" s="4" t="s">
        <v>8</v>
      </c>
      <c r="E71" s="4" t="s">
        <v>331</v>
      </c>
      <c r="F71" s="5">
        <v>1.5</v>
      </c>
      <c r="G71" s="10">
        <v>1.0</v>
      </c>
      <c r="H71" s="7"/>
      <c r="I71" s="7"/>
      <c r="J71" s="7"/>
      <c r="K71" s="7"/>
      <c r="L71" s="7"/>
      <c r="M71" s="7"/>
      <c r="N71" s="7"/>
      <c r="O71" s="7"/>
      <c r="P71" s="7"/>
      <c r="Q71" s="7"/>
      <c r="U71" s="8">
        <f t="shared" si="1"/>
        <v>1.5</v>
      </c>
      <c r="V71" s="8">
        <f t="shared" si="2"/>
        <v>55</v>
      </c>
      <c r="W71" s="8" t="str">
        <f t="shared" si="3"/>
        <v/>
      </c>
      <c r="X71" s="8" t="str">
        <f t="shared" si="4"/>
        <v>#N/A</v>
      </c>
    </row>
    <row r="72">
      <c r="A72" s="4">
        <f t="shared" si="5"/>
        <v>71</v>
      </c>
      <c r="B72" s="4" t="s">
        <v>273</v>
      </c>
      <c r="C72" s="4" t="s">
        <v>293</v>
      </c>
      <c r="D72" s="4" t="s">
        <v>10</v>
      </c>
      <c r="E72" s="4" t="s">
        <v>551</v>
      </c>
      <c r="F72" s="5">
        <v>0.7</v>
      </c>
      <c r="G72" s="10">
        <v>4.0</v>
      </c>
      <c r="H72" s="7"/>
      <c r="I72" s="7"/>
      <c r="J72" s="7"/>
      <c r="K72" s="7"/>
      <c r="L72" s="7"/>
      <c r="M72" s="7"/>
      <c r="N72" s="7"/>
      <c r="O72" s="7"/>
      <c r="P72" s="7"/>
      <c r="Q72" s="7"/>
      <c r="U72" s="8" t="str">
        <f t="shared" si="1"/>
        <v/>
      </c>
      <c r="V72" s="8" t="str">
        <f t="shared" si="2"/>
        <v>#N/A</v>
      </c>
      <c r="W72" s="8">
        <f t="shared" si="3"/>
        <v>0.7</v>
      </c>
      <c r="X72" s="8">
        <f t="shared" si="4"/>
        <v>19</v>
      </c>
    </row>
    <row r="73">
      <c r="A73" s="4">
        <f t="shared" si="5"/>
        <v>72</v>
      </c>
      <c r="B73" s="4" t="s">
        <v>273</v>
      </c>
      <c r="C73" s="4" t="s">
        <v>284</v>
      </c>
      <c r="D73" s="4" t="s">
        <v>8</v>
      </c>
      <c r="E73" s="4" t="s">
        <v>552</v>
      </c>
      <c r="F73" s="5">
        <v>1.0</v>
      </c>
      <c r="G73" s="10">
        <v>1.0</v>
      </c>
      <c r="H73" s="7"/>
      <c r="I73" s="7"/>
      <c r="J73" s="7"/>
      <c r="K73" s="7"/>
      <c r="L73" s="7"/>
      <c r="M73" s="7"/>
      <c r="N73" s="7"/>
      <c r="O73" s="7"/>
      <c r="P73" s="7"/>
      <c r="Q73" s="7"/>
      <c r="U73" s="8">
        <f t="shared" si="1"/>
        <v>1</v>
      </c>
      <c r="V73" s="8">
        <f t="shared" si="2"/>
        <v>71</v>
      </c>
      <c r="W73" s="8" t="str">
        <f t="shared" si="3"/>
        <v/>
      </c>
      <c r="X73" s="8" t="str">
        <f t="shared" si="4"/>
        <v>#N/A</v>
      </c>
    </row>
    <row r="74">
      <c r="A74" s="4">
        <f t="shared" si="5"/>
        <v>73</v>
      </c>
      <c r="B74" s="4" t="s">
        <v>274</v>
      </c>
      <c r="C74" s="4" t="s">
        <v>285</v>
      </c>
      <c r="D74" s="4" t="s">
        <v>8</v>
      </c>
      <c r="E74" s="4" t="s">
        <v>462</v>
      </c>
      <c r="F74" s="5">
        <v>1.8</v>
      </c>
      <c r="G74" s="10">
        <v>1.0</v>
      </c>
      <c r="H74" s="7"/>
      <c r="I74" s="7"/>
      <c r="J74" s="7"/>
      <c r="K74" s="7"/>
      <c r="L74" s="7"/>
      <c r="M74" s="7"/>
      <c r="N74" s="7"/>
      <c r="O74" s="7"/>
      <c r="P74" s="7"/>
      <c r="Q74" s="7"/>
      <c r="U74" s="8">
        <f t="shared" si="1"/>
        <v>1.8</v>
      </c>
      <c r="V74" s="8">
        <f t="shared" si="2"/>
        <v>49</v>
      </c>
      <c r="W74" s="8" t="str">
        <f t="shared" si="3"/>
        <v/>
      </c>
      <c r="X74" s="8" t="str">
        <f t="shared" si="4"/>
        <v>#N/A</v>
      </c>
    </row>
    <row r="75">
      <c r="A75" s="4">
        <f t="shared" si="5"/>
        <v>74</v>
      </c>
      <c r="B75" s="4" t="s">
        <v>285</v>
      </c>
      <c r="C75" s="4" t="s">
        <v>293</v>
      </c>
      <c r="D75" s="4" t="s">
        <v>10</v>
      </c>
      <c r="E75" s="4" t="s">
        <v>264</v>
      </c>
      <c r="F75" s="5">
        <v>0.7</v>
      </c>
      <c r="G75" s="10">
        <v>3.0</v>
      </c>
      <c r="H75" s="7"/>
      <c r="I75" s="7"/>
      <c r="J75" s="7"/>
      <c r="K75" s="7"/>
      <c r="L75" s="7"/>
      <c r="M75" s="7"/>
      <c r="N75" s="7"/>
      <c r="O75" s="7"/>
      <c r="P75" s="7"/>
      <c r="Q75" s="7"/>
      <c r="U75" s="8" t="str">
        <f t="shared" si="1"/>
        <v/>
      </c>
      <c r="V75" s="8" t="str">
        <f t="shared" si="2"/>
        <v>#N/A</v>
      </c>
      <c r="W75" s="8">
        <f t="shared" si="3"/>
        <v>0.7</v>
      </c>
      <c r="X75" s="8">
        <f t="shared" si="4"/>
        <v>19</v>
      </c>
    </row>
    <row r="76">
      <c r="A76" s="4">
        <f t="shared" si="5"/>
        <v>75</v>
      </c>
      <c r="B76" s="4" t="s">
        <v>285</v>
      </c>
      <c r="C76" s="4" t="s">
        <v>294</v>
      </c>
      <c r="D76" s="4" t="s">
        <v>8</v>
      </c>
      <c r="E76" s="4" t="s">
        <v>541</v>
      </c>
      <c r="F76" s="5">
        <v>0.7</v>
      </c>
      <c r="G76" s="10">
        <v>1.0</v>
      </c>
      <c r="H76" s="7"/>
      <c r="I76" s="7"/>
      <c r="J76" s="7"/>
      <c r="K76" s="7"/>
      <c r="L76" s="7"/>
      <c r="M76" s="7"/>
      <c r="N76" s="7"/>
      <c r="O76" s="7"/>
      <c r="P76" s="7"/>
      <c r="Q76" s="7"/>
      <c r="U76" s="8">
        <f t="shared" si="1"/>
        <v>0.7</v>
      </c>
      <c r="V76" s="8">
        <f t="shared" si="2"/>
        <v>90</v>
      </c>
      <c r="W76" s="8" t="str">
        <f t="shared" si="3"/>
        <v/>
      </c>
      <c r="X76" s="8" t="str">
        <f t="shared" si="4"/>
        <v>#N/A</v>
      </c>
    </row>
    <row r="77">
      <c r="A77" s="4">
        <f t="shared" si="5"/>
        <v>76</v>
      </c>
      <c r="B77" s="4" t="s">
        <v>286</v>
      </c>
      <c r="C77" s="4" t="s">
        <v>273</v>
      </c>
      <c r="D77" s="4" t="s">
        <v>8</v>
      </c>
      <c r="E77" s="4" t="s">
        <v>259</v>
      </c>
      <c r="F77" s="5">
        <v>1.6</v>
      </c>
      <c r="G77" s="10">
        <v>2.0</v>
      </c>
      <c r="H77" s="7"/>
      <c r="I77" s="7"/>
      <c r="J77" s="7"/>
      <c r="K77" s="7"/>
      <c r="L77" s="7"/>
      <c r="M77" s="7"/>
      <c r="N77" s="7"/>
      <c r="O77" s="7"/>
      <c r="P77" s="7"/>
      <c r="Q77" s="7"/>
      <c r="U77" s="8">
        <f t="shared" si="1"/>
        <v>1.6</v>
      </c>
      <c r="V77" s="8">
        <f t="shared" si="2"/>
        <v>54</v>
      </c>
      <c r="W77" s="8" t="str">
        <f t="shared" si="3"/>
        <v/>
      </c>
      <c r="X77" s="8" t="str">
        <f t="shared" si="4"/>
        <v>#N/A</v>
      </c>
    </row>
    <row r="78">
      <c r="A78" s="4">
        <f t="shared" si="5"/>
        <v>77</v>
      </c>
      <c r="B78" s="4" t="s">
        <v>284</v>
      </c>
      <c r="C78" s="4" t="s">
        <v>281</v>
      </c>
      <c r="D78" s="4" t="s">
        <v>8</v>
      </c>
      <c r="E78" s="4" t="s">
        <v>330</v>
      </c>
      <c r="F78" s="5">
        <v>2.5</v>
      </c>
      <c r="G78" s="10">
        <v>1.0</v>
      </c>
      <c r="H78" s="7"/>
      <c r="I78" s="7"/>
      <c r="J78" s="7"/>
      <c r="K78" s="7"/>
      <c r="L78" s="7"/>
      <c r="M78" s="7"/>
      <c r="N78" s="7"/>
      <c r="O78" s="7"/>
      <c r="P78" s="7"/>
      <c r="Q78" s="7"/>
      <c r="U78" s="8">
        <f t="shared" si="1"/>
        <v>2.5</v>
      </c>
      <c r="V78" s="8">
        <f t="shared" si="2"/>
        <v>41</v>
      </c>
      <c r="W78" s="8" t="str">
        <f t="shared" si="3"/>
        <v/>
      </c>
      <c r="X78" s="8" t="str">
        <f t="shared" si="4"/>
        <v>#N/A</v>
      </c>
    </row>
    <row r="79">
      <c r="A79" s="4">
        <f t="shared" si="5"/>
        <v>78</v>
      </c>
      <c r="B79" s="4" t="s">
        <v>293</v>
      </c>
      <c r="C79" s="4" t="s">
        <v>284</v>
      </c>
      <c r="D79" s="4" t="s">
        <v>8</v>
      </c>
      <c r="E79" s="4" t="s">
        <v>396</v>
      </c>
      <c r="F79" s="5">
        <v>4.2</v>
      </c>
      <c r="G79" s="10">
        <v>1.0</v>
      </c>
      <c r="H79" s="7"/>
      <c r="I79" s="7"/>
      <c r="J79" s="7"/>
      <c r="K79" s="7"/>
      <c r="L79" s="7"/>
      <c r="M79" s="7"/>
      <c r="N79" s="7"/>
      <c r="O79" s="7"/>
      <c r="P79" s="7"/>
      <c r="Q79" s="7"/>
      <c r="U79" s="8">
        <f t="shared" si="1"/>
        <v>4.2</v>
      </c>
      <c r="V79" s="8">
        <f t="shared" si="2"/>
        <v>29</v>
      </c>
      <c r="W79" s="8" t="str">
        <f t="shared" si="3"/>
        <v/>
      </c>
      <c r="X79" s="8" t="str">
        <f t="shared" si="4"/>
        <v>#N/A</v>
      </c>
    </row>
    <row r="80">
      <c r="A80" s="4">
        <f t="shared" si="5"/>
        <v>79</v>
      </c>
      <c r="B80" s="4" t="s">
        <v>294</v>
      </c>
      <c r="C80" s="4" t="s">
        <v>280</v>
      </c>
      <c r="D80" s="4" t="s">
        <v>8</v>
      </c>
      <c r="E80" s="4" t="s">
        <v>454</v>
      </c>
      <c r="F80" s="5">
        <v>2.1</v>
      </c>
      <c r="G80" s="10">
        <v>1.0</v>
      </c>
      <c r="H80" s="7"/>
      <c r="I80" s="7"/>
      <c r="J80" s="7"/>
      <c r="K80" s="7"/>
      <c r="L80" s="7"/>
      <c r="M80" s="7"/>
      <c r="N80" s="7"/>
      <c r="O80" s="7"/>
      <c r="P80" s="7"/>
      <c r="Q80" s="7"/>
      <c r="U80" s="8">
        <f t="shared" si="1"/>
        <v>2.1</v>
      </c>
      <c r="V80" s="8">
        <f t="shared" si="2"/>
        <v>44</v>
      </c>
      <c r="W80" s="8" t="str">
        <f t="shared" si="3"/>
        <v/>
      </c>
      <c r="X80" s="8" t="str">
        <f t="shared" si="4"/>
        <v>#N/A</v>
      </c>
    </row>
    <row r="81">
      <c r="A81" s="4">
        <f t="shared" si="5"/>
        <v>80</v>
      </c>
      <c r="B81" s="4" t="s">
        <v>288</v>
      </c>
      <c r="C81" s="4" t="s">
        <v>285</v>
      </c>
      <c r="D81" s="4" t="s">
        <v>8</v>
      </c>
      <c r="E81" s="4" t="s">
        <v>455</v>
      </c>
      <c r="F81" s="5">
        <v>2.1</v>
      </c>
      <c r="G81" s="10">
        <v>1.0</v>
      </c>
      <c r="H81" s="7"/>
      <c r="I81" s="7"/>
      <c r="J81" s="7"/>
      <c r="K81" s="7"/>
      <c r="L81" s="7"/>
      <c r="M81" s="7"/>
      <c r="N81" s="7"/>
      <c r="O81" s="7"/>
      <c r="P81" s="7"/>
      <c r="Q81" s="7"/>
      <c r="U81" s="8">
        <f t="shared" si="1"/>
        <v>2.1</v>
      </c>
      <c r="V81" s="8">
        <f t="shared" si="2"/>
        <v>44</v>
      </c>
      <c r="W81" s="8" t="str">
        <f t="shared" si="3"/>
        <v/>
      </c>
      <c r="X81" s="8" t="str">
        <f t="shared" si="4"/>
        <v>#N/A</v>
      </c>
    </row>
    <row r="82">
      <c r="A82" s="4">
        <f t="shared" si="5"/>
        <v>81</v>
      </c>
      <c r="B82" s="4" t="s">
        <v>280</v>
      </c>
      <c r="C82" s="4" t="s">
        <v>284</v>
      </c>
      <c r="D82" s="4" t="s">
        <v>8</v>
      </c>
      <c r="E82" s="4" t="s">
        <v>553</v>
      </c>
      <c r="F82" s="5">
        <v>1.5</v>
      </c>
      <c r="G82" s="10">
        <v>1.0</v>
      </c>
      <c r="H82" s="7"/>
      <c r="I82" s="7"/>
      <c r="J82" s="7"/>
      <c r="K82" s="7"/>
      <c r="L82" s="7"/>
      <c r="M82" s="7"/>
      <c r="N82" s="7"/>
      <c r="O82" s="7"/>
      <c r="P82" s="7"/>
      <c r="Q82" s="7"/>
      <c r="U82" s="8">
        <f t="shared" si="1"/>
        <v>1.5</v>
      </c>
      <c r="V82" s="8">
        <f t="shared" si="2"/>
        <v>55</v>
      </c>
      <c r="W82" s="8" t="str">
        <f t="shared" si="3"/>
        <v/>
      </c>
      <c r="X82" s="8" t="str">
        <f t="shared" si="4"/>
        <v>#N/A</v>
      </c>
    </row>
    <row r="83">
      <c r="A83" s="4">
        <f t="shared" si="5"/>
        <v>82</v>
      </c>
      <c r="B83" s="4" t="s">
        <v>287</v>
      </c>
      <c r="C83" s="4" t="s">
        <v>273</v>
      </c>
      <c r="D83" s="4" t="s">
        <v>8</v>
      </c>
      <c r="E83" s="4" t="s">
        <v>554</v>
      </c>
      <c r="F83" s="5">
        <v>2.0</v>
      </c>
      <c r="G83" s="10">
        <v>1.0</v>
      </c>
      <c r="H83" s="7"/>
      <c r="I83" s="7"/>
      <c r="J83" s="7"/>
      <c r="K83" s="7"/>
      <c r="L83" s="7"/>
      <c r="M83" s="7"/>
      <c r="N83" s="7"/>
      <c r="O83" s="7"/>
      <c r="P83" s="7"/>
      <c r="Q83" s="7"/>
      <c r="U83" s="8">
        <f t="shared" si="1"/>
        <v>2</v>
      </c>
      <c r="V83" s="8">
        <f t="shared" si="2"/>
        <v>47</v>
      </c>
      <c r="W83" s="8" t="str">
        <f t="shared" si="3"/>
        <v/>
      </c>
      <c r="X83" s="8" t="str">
        <f t="shared" si="4"/>
        <v>#N/A</v>
      </c>
    </row>
    <row r="84">
      <c r="A84" s="4">
        <f t="shared" si="5"/>
        <v>83</v>
      </c>
      <c r="B84" s="4" t="s">
        <v>281</v>
      </c>
      <c r="C84" s="4" t="s">
        <v>284</v>
      </c>
      <c r="D84" s="4" t="s">
        <v>8</v>
      </c>
      <c r="E84" s="4" t="s">
        <v>268</v>
      </c>
      <c r="F84" s="5">
        <v>1.2</v>
      </c>
      <c r="G84" s="10">
        <v>1.0</v>
      </c>
      <c r="H84" s="7"/>
      <c r="I84" s="7"/>
      <c r="J84" s="7"/>
      <c r="K84" s="7"/>
      <c r="L84" s="7"/>
      <c r="M84" s="7"/>
      <c r="N84" s="7"/>
      <c r="O84" s="7"/>
      <c r="P84" s="7"/>
      <c r="Q84" s="7"/>
      <c r="U84" s="8">
        <f t="shared" si="1"/>
        <v>1.2</v>
      </c>
      <c r="V84" s="8">
        <f t="shared" si="2"/>
        <v>62</v>
      </c>
      <c r="W84" s="8" t="str">
        <f t="shared" si="3"/>
        <v/>
      </c>
      <c r="X84" s="8" t="str">
        <f t="shared" si="4"/>
        <v>#N/A</v>
      </c>
    </row>
    <row r="85">
      <c r="A85" s="4">
        <f t="shared" si="5"/>
        <v>84</v>
      </c>
      <c r="B85" s="4" t="s">
        <v>273</v>
      </c>
      <c r="C85" s="4" t="s">
        <v>284</v>
      </c>
      <c r="D85" s="4" t="s">
        <v>8</v>
      </c>
      <c r="E85" s="4" t="s">
        <v>405</v>
      </c>
      <c r="F85" s="5">
        <v>2.4</v>
      </c>
      <c r="G85" s="10">
        <v>1.0</v>
      </c>
      <c r="H85" s="7"/>
      <c r="I85" s="7"/>
      <c r="J85" s="7"/>
      <c r="K85" s="7"/>
      <c r="L85" s="7"/>
      <c r="M85" s="7"/>
      <c r="N85" s="7"/>
      <c r="O85" s="7"/>
      <c r="P85" s="7"/>
      <c r="Q85" s="7"/>
      <c r="U85" s="8">
        <f t="shared" si="1"/>
        <v>2.4</v>
      </c>
      <c r="V85" s="8">
        <f t="shared" si="2"/>
        <v>43</v>
      </c>
      <c r="W85" s="8" t="str">
        <f t="shared" si="3"/>
        <v/>
      </c>
      <c r="X85" s="8" t="str">
        <f t="shared" si="4"/>
        <v>#N/A</v>
      </c>
    </row>
    <row r="86">
      <c r="A86" s="4">
        <f t="shared" si="5"/>
        <v>85</v>
      </c>
      <c r="B86" s="4" t="s">
        <v>274</v>
      </c>
      <c r="C86" s="4" t="s">
        <v>273</v>
      </c>
      <c r="D86" s="4" t="s">
        <v>8</v>
      </c>
      <c r="E86" s="4" t="s">
        <v>120</v>
      </c>
      <c r="F86" s="5">
        <v>2.6</v>
      </c>
      <c r="G86" s="10">
        <v>3.0</v>
      </c>
      <c r="H86" s="7"/>
      <c r="I86" s="7"/>
      <c r="J86" s="7"/>
      <c r="K86" s="7"/>
      <c r="L86" s="7"/>
      <c r="M86" s="7"/>
      <c r="N86" s="7"/>
      <c r="O86" s="7"/>
      <c r="P86" s="7"/>
      <c r="Q86" s="7"/>
      <c r="U86" s="8">
        <f t="shared" si="1"/>
        <v>2.6</v>
      </c>
      <c r="V86" s="8">
        <f t="shared" si="2"/>
        <v>40</v>
      </c>
      <c r="W86" s="8" t="str">
        <f t="shared" si="3"/>
        <v/>
      </c>
      <c r="X86" s="8" t="str">
        <f t="shared" si="4"/>
        <v>#N/A</v>
      </c>
    </row>
    <row r="87">
      <c r="A87" s="4">
        <f t="shared" si="5"/>
        <v>86</v>
      </c>
      <c r="B87" s="4" t="s">
        <v>285</v>
      </c>
      <c r="C87" s="4" t="s">
        <v>294</v>
      </c>
      <c r="D87" s="4" t="s">
        <v>8</v>
      </c>
      <c r="E87" s="4" t="s">
        <v>530</v>
      </c>
      <c r="F87" s="5">
        <v>0.8</v>
      </c>
      <c r="G87" s="10">
        <v>1.0</v>
      </c>
      <c r="H87" s="7"/>
      <c r="I87" s="7"/>
      <c r="J87" s="7"/>
      <c r="K87" s="7"/>
      <c r="L87" s="7"/>
      <c r="M87" s="7"/>
      <c r="N87" s="7"/>
      <c r="O87" s="7"/>
      <c r="P87" s="7"/>
      <c r="Q87" s="7"/>
      <c r="U87" s="8">
        <f t="shared" si="1"/>
        <v>0.8</v>
      </c>
      <c r="V87" s="8">
        <f t="shared" si="2"/>
        <v>86</v>
      </c>
      <c r="W87" s="8" t="str">
        <f t="shared" si="3"/>
        <v/>
      </c>
      <c r="X87" s="8" t="str">
        <f t="shared" si="4"/>
        <v>#N/A</v>
      </c>
    </row>
    <row r="88">
      <c r="A88" s="4">
        <f t="shared" si="5"/>
        <v>87</v>
      </c>
      <c r="B88" s="4" t="s">
        <v>286</v>
      </c>
      <c r="C88" s="4" t="s">
        <v>286</v>
      </c>
      <c r="D88" s="4" t="s">
        <v>8</v>
      </c>
      <c r="E88" s="4" t="s">
        <v>555</v>
      </c>
      <c r="F88" s="5">
        <v>0.8</v>
      </c>
      <c r="G88" s="10">
        <v>1.0</v>
      </c>
      <c r="H88" s="7"/>
      <c r="I88" s="7"/>
      <c r="J88" s="7"/>
      <c r="K88" s="7"/>
      <c r="L88" s="7"/>
      <c r="M88" s="7"/>
      <c r="N88" s="7"/>
      <c r="O88" s="7"/>
      <c r="P88" s="7"/>
      <c r="Q88" s="7"/>
      <c r="U88" s="8">
        <f t="shared" si="1"/>
        <v>0.8</v>
      </c>
      <c r="V88" s="8">
        <f t="shared" si="2"/>
        <v>86</v>
      </c>
      <c r="W88" s="8" t="str">
        <f t="shared" si="3"/>
        <v/>
      </c>
      <c r="X88" s="8" t="str">
        <f t="shared" si="4"/>
        <v>#N/A</v>
      </c>
    </row>
    <row r="89">
      <c r="A89" s="4">
        <f t="shared" si="5"/>
        <v>88</v>
      </c>
      <c r="B89" s="4" t="s">
        <v>284</v>
      </c>
      <c r="C89" s="4" t="s">
        <v>284</v>
      </c>
      <c r="D89" s="4" t="s">
        <v>8</v>
      </c>
      <c r="E89" s="4" t="s">
        <v>233</v>
      </c>
      <c r="F89" s="5">
        <v>3.0</v>
      </c>
      <c r="G89" s="10">
        <v>1.0</v>
      </c>
      <c r="H89" s="7"/>
      <c r="I89" s="7"/>
      <c r="J89" s="7"/>
      <c r="K89" s="7"/>
      <c r="L89" s="7"/>
      <c r="M89" s="7"/>
      <c r="N89" s="7"/>
      <c r="O89" s="7"/>
      <c r="P89" s="7"/>
      <c r="Q89" s="7"/>
      <c r="U89" s="8">
        <f t="shared" si="1"/>
        <v>3</v>
      </c>
      <c r="V89" s="8">
        <f t="shared" si="2"/>
        <v>39</v>
      </c>
      <c r="W89" s="8" t="str">
        <f t="shared" si="3"/>
        <v/>
      </c>
      <c r="X89" s="8" t="str">
        <f t="shared" si="4"/>
        <v>#N/A</v>
      </c>
    </row>
    <row r="90">
      <c r="A90" s="4">
        <f t="shared" si="5"/>
        <v>89</v>
      </c>
      <c r="B90" s="4" t="s">
        <v>293</v>
      </c>
      <c r="C90" s="4" t="s">
        <v>287</v>
      </c>
      <c r="D90" s="4" t="s">
        <v>8</v>
      </c>
      <c r="E90" s="4" t="s">
        <v>556</v>
      </c>
      <c r="F90" s="5">
        <v>0.6</v>
      </c>
      <c r="G90" s="10">
        <v>1.0</v>
      </c>
      <c r="H90" s="7"/>
      <c r="I90" s="7"/>
      <c r="J90" s="7"/>
      <c r="K90" s="7"/>
      <c r="L90" s="7"/>
      <c r="M90" s="7"/>
      <c r="N90" s="7"/>
      <c r="O90" s="7"/>
      <c r="P90" s="7"/>
      <c r="Q90" s="7"/>
      <c r="U90" s="8">
        <f t="shared" si="1"/>
        <v>0.6</v>
      </c>
      <c r="V90" s="8">
        <f t="shared" si="2"/>
        <v>103</v>
      </c>
      <c r="W90" s="8" t="str">
        <f t="shared" si="3"/>
        <v/>
      </c>
      <c r="X90" s="8" t="str">
        <f t="shared" si="4"/>
        <v>#N/A</v>
      </c>
    </row>
    <row r="91">
      <c r="A91" s="4">
        <f t="shared" si="5"/>
        <v>90</v>
      </c>
      <c r="B91" s="4" t="s">
        <v>294</v>
      </c>
      <c r="C91" s="4" t="s">
        <v>285</v>
      </c>
      <c r="D91" s="4" t="s">
        <v>8</v>
      </c>
      <c r="E91" s="4" t="s">
        <v>380</v>
      </c>
      <c r="F91" s="5">
        <v>0.9</v>
      </c>
      <c r="G91" s="10">
        <v>1.0</v>
      </c>
      <c r="H91" s="7"/>
      <c r="I91" s="7"/>
      <c r="J91" s="7"/>
      <c r="K91" s="7"/>
      <c r="L91" s="7"/>
      <c r="M91" s="7"/>
      <c r="N91" s="7"/>
      <c r="O91" s="7"/>
      <c r="P91" s="7"/>
      <c r="Q91" s="7"/>
      <c r="U91" s="8">
        <f t="shared" si="1"/>
        <v>0.9</v>
      </c>
      <c r="V91" s="8">
        <f t="shared" si="2"/>
        <v>77</v>
      </c>
      <c r="W91" s="8" t="str">
        <f t="shared" si="3"/>
        <v/>
      </c>
      <c r="X91" s="8" t="str">
        <f t="shared" si="4"/>
        <v>#N/A</v>
      </c>
    </row>
    <row r="92">
      <c r="A92" s="4">
        <f t="shared" si="5"/>
        <v>91</v>
      </c>
      <c r="B92" s="4" t="s">
        <v>288</v>
      </c>
      <c r="C92" s="4" t="s">
        <v>288</v>
      </c>
      <c r="D92" s="4" t="s">
        <v>8</v>
      </c>
      <c r="E92" s="4" t="s">
        <v>95</v>
      </c>
      <c r="F92" s="5">
        <v>1.1</v>
      </c>
      <c r="G92" s="10">
        <v>1.0</v>
      </c>
      <c r="H92" s="7"/>
      <c r="I92" s="7"/>
      <c r="J92" s="7"/>
      <c r="K92" s="7"/>
      <c r="L92" s="7"/>
      <c r="M92" s="7"/>
      <c r="N92" s="7"/>
      <c r="O92" s="7"/>
      <c r="P92" s="7"/>
      <c r="Q92" s="7"/>
      <c r="U92" s="8">
        <f t="shared" si="1"/>
        <v>1.1</v>
      </c>
      <c r="V92" s="8">
        <f t="shared" si="2"/>
        <v>67</v>
      </c>
      <c r="W92" s="8" t="str">
        <f t="shared" si="3"/>
        <v/>
      </c>
      <c r="X92" s="8" t="str">
        <f t="shared" si="4"/>
        <v>#N/A</v>
      </c>
    </row>
    <row r="93">
      <c r="A93" s="4">
        <f t="shared" si="5"/>
        <v>92</v>
      </c>
      <c r="B93" s="4" t="s">
        <v>280</v>
      </c>
      <c r="C93" s="4" t="s">
        <v>273</v>
      </c>
      <c r="D93" s="4" t="s">
        <v>8</v>
      </c>
      <c r="E93" s="4" t="s">
        <v>469</v>
      </c>
      <c r="F93" s="5">
        <v>1.3</v>
      </c>
      <c r="G93" s="10">
        <v>1.0</v>
      </c>
      <c r="H93" s="7"/>
      <c r="I93" s="7"/>
      <c r="J93" s="7"/>
      <c r="K93" s="7"/>
      <c r="L93" s="7"/>
      <c r="M93" s="7"/>
      <c r="N93" s="7"/>
      <c r="O93" s="7"/>
      <c r="P93" s="7"/>
      <c r="Q93" s="7"/>
      <c r="U93" s="8">
        <f t="shared" si="1"/>
        <v>1.3</v>
      </c>
      <c r="V93" s="8">
        <f t="shared" si="2"/>
        <v>60</v>
      </c>
      <c r="W93" s="8" t="str">
        <f t="shared" si="3"/>
        <v/>
      </c>
      <c r="X93" s="8" t="str">
        <f t="shared" si="4"/>
        <v>#N/A</v>
      </c>
    </row>
    <row r="94">
      <c r="A94" s="4">
        <f t="shared" si="5"/>
        <v>93</v>
      </c>
      <c r="B94" s="4" t="s">
        <v>287</v>
      </c>
      <c r="C94" s="4" t="s">
        <v>274</v>
      </c>
      <c r="D94" s="4" t="s">
        <v>8</v>
      </c>
      <c r="E94" s="4" t="s">
        <v>258</v>
      </c>
      <c r="F94" s="5">
        <v>0.7</v>
      </c>
      <c r="G94" s="10">
        <v>2.0</v>
      </c>
      <c r="H94" s="7"/>
      <c r="I94" s="7"/>
      <c r="J94" s="7"/>
      <c r="K94" s="7"/>
      <c r="L94" s="7"/>
      <c r="M94" s="7"/>
      <c r="N94" s="7"/>
      <c r="O94" s="7"/>
      <c r="P94" s="7"/>
      <c r="Q94" s="7"/>
      <c r="U94" s="8">
        <f t="shared" si="1"/>
        <v>0.7</v>
      </c>
      <c r="V94" s="8">
        <f t="shared" si="2"/>
        <v>90</v>
      </c>
      <c r="W94" s="8" t="str">
        <f t="shared" si="3"/>
        <v/>
      </c>
      <c r="X94" s="8" t="str">
        <f t="shared" si="4"/>
        <v>#N/A</v>
      </c>
    </row>
    <row r="95">
      <c r="A95" s="4">
        <f t="shared" si="5"/>
        <v>94</v>
      </c>
      <c r="B95" s="4" t="s">
        <v>281</v>
      </c>
      <c r="C95" s="4" t="s">
        <v>280</v>
      </c>
      <c r="D95" s="4" t="s">
        <v>8</v>
      </c>
      <c r="E95" s="4" t="s">
        <v>134</v>
      </c>
      <c r="F95" s="5">
        <v>0.9</v>
      </c>
      <c r="G95" s="10">
        <v>1.0</v>
      </c>
      <c r="H95" s="7"/>
      <c r="I95" s="7"/>
      <c r="J95" s="7"/>
      <c r="K95" s="7"/>
      <c r="L95" s="7"/>
      <c r="M95" s="7"/>
      <c r="N95" s="7"/>
      <c r="O95" s="7"/>
      <c r="P95" s="7"/>
      <c r="Q95" s="7"/>
      <c r="U95" s="8">
        <f t="shared" si="1"/>
        <v>0.9</v>
      </c>
      <c r="V95" s="8">
        <f t="shared" si="2"/>
        <v>77</v>
      </c>
      <c r="W95" s="8" t="str">
        <f t="shared" si="3"/>
        <v/>
      </c>
      <c r="X95" s="8" t="str">
        <f t="shared" si="4"/>
        <v>#N/A</v>
      </c>
    </row>
    <row r="96">
      <c r="A96" s="4">
        <f t="shared" si="5"/>
        <v>95</v>
      </c>
      <c r="B96" s="4" t="s">
        <v>273</v>
      </c>
      <c r="C96" s="4" t="s">
        <v>274</v>
      </c>
      <c r="D96" s="4" t="s">
        <v>8</v>
      </c>
      <c r="E96" s="4" t="s">
        <v>397</v>
      </c>
      <c r="F96" s="5">
        <v>1.1</v>
      </c>
      <c r="G96" s="10">
        <v>1.0</v>
      </c>
      <c r="H96" s="7"/>
      <c r="I96" s="7"/>
      <c r="J96" s="7"/>
      <c r="K96" s="7"/>
      <c r="L96" s="7"/>
      <c r="M96" s="7"/>
      <c r="N96" s="7"/>
      <c r="O96" s="7"/>
      <c r="P96" s="7"/>
      <c r="Q96" s="7"/>
      <c r="U96" s="8">
        <f t="shared" si="1"/>
        <v>1.1</v>
      </c>
      <c r="V96" s="8">
        <f t="shared" si="2"/>
        <v>67</v>
      </c>
      <c r="W96" s="8" t="str">
        <f t="shared" si="3"/>
        <v/>
      </c>
      <c r="X96" s="8" t="str">
        <f t="shared" si="4"/>
        <v>#N/A</v>
      </c>
    </row>
    <row r="97">
      <c r="A97" s="4">
        <f t="shared" si="5"/>
        <v>96</v>
      </c>
      <c r="B97" s="4" t="s">
        <v>274</v>
      </c>
      <c r="C97" s="4" t="s">
        <v>280</v>
      </c>
      <c r="D97" s="4" t="s">
        <v>8</v>
      </c>
      <c r="E97" s="4" t="s">
        <v>493</v>
      </c>
      <c r="F97" s="5">
        <v>1.4</v>
      </c>
      <c r="G97" s="10">
        <v>1.0</v>
      </c>
      <c r="H97" s="7"/>
      <c r="I97" s="7"/>
      <c r="J97" s="7"/>
      <c r="K97" s="7"/>
      <c r="L97" s="7"/>
      <c r="M97" s="7"/>
      <c r="N97" s="7"/>
      <c r="O97" s="7"/>
      <c r="P97" s="7"/>
      <c r="Q97" s="7"/>
      <c r="U97" s="8">
        <f t="shared" si="1"/>
        <v>1.4</v>
      </c>
      <c r="V97" s="8">
        <f t="shared" si="2"/>
        <v>58</v>
      </c>
      <c r="W97" s="8" t="str">
        <f t="shared" si="3"/>
        <v/>
      </c>
      <c r="X97" s="8" t="str">
        <f t="shared" si="4"/>
        <v>#N/A</v>
      </c>
    </row>
    <row r="98">
      <c r="A98" s="4">
        <f t="shared" si="5"/>
        <v>97</v>
      </c>
      <c r="B98" s="4" t="s">
        <v>285</v>
      </c>
      <c r="C98" s="4" t="s">
        <v>280</v>
      </c>
      <c r="D98" s="4" t="s">
        <v>8</v>
      </c>
      <c r="E98" s="4" t="s">
        <v>521</v>
      </c>
      <c r="F98" s="5">
        <v>1.0</v>
      </c>
      <c r="G98" s="10">
        <v>1.0</v>
      </c>
      <c r="H98" s="7"/>
      <c r="I98" s="7"/>
      <c r="J98" s="7"/>
      <c r="K98" s="7"/>
      <c r="L98" s="7"/>
      <c r="M98" s="7"/>
      <c r="N98" s="7"/>
      <c r="O98" s="7"/>
      <c r="P98" s="7"/>
      <c r="Q98" s="7"/>
      <c r="U98" s="8">
        <f t="shared" si="1"/>
        <v>1</v>
      </c>
      <c r="V98" s="8">
        <f t="shared" si="2"/>
        <v>71</v>
      </c>
      <c r="W98" s="8" t="str">
        <f t="shared" si="3"/>
        <v/>
      </c>
      <c r="X98" s="8" t="str">
        <f t="shared" si="4"/>
        <v>#N/A</v>
      </c>
    </row>
    <row r="99">
      <c r="A99" s="4">
        <f t="shared" si="5"/>
        <v>98</v>
      </c>
      <c r="B99" s="4" t="s">
        <v>286</v>
      </c>
      <c r="C99" s="4" t="s">
        <v>280</v>
      </c>
      <c r="D99" s="4" t="s">
        <v>8</v>
      </c>
      <c r="E99" s="4" t="s">
        <v>399</v>
      </c>
      <c r="F99" s="5">
        <v>1.1</v>
      </c>
      <c r="G99" s="10">
        <v>1.0</v>
      </c>
      <c r="H99" s="7"/>
      <c r="I99" s="7"/>
      <c r="J99" s="7"/>
      <c r="K99" s="7"/>
      <c r="L99" s="7"/>
      <c r="M99" s="7"/>
      <c r="N99" s="7"/>
      <c r="O99" s="7"/>
      <c r="P99" s="7"/>
      <c r="Q99" s="7"/>
      <c r="U99" s="8">
        <f t="shared" si="1"/>
        <v>1.1</v>
      </c>
      <c r="V99" s="8">
        <f t="shared" si="2"/>
        <v>67</v>
      </c>
      <c r="W99" s="8" t="str">
        <f t="shared" si="3"/>
        <v/>
      </c>
      <c r="X99" s="8" t="str">
        <f t="shared" si="4"/>
        <v>#N/A</v>
      </c>
    </row>
    <row r="100">
      <c r="A100" s="4">
        <f t="shared" si="5"/>
        <v>99</v>
      </c>
      <c r="B100" s="4" t="s">
        <v>284</v>
      </c>
      <c r="C100" s="4" t="s">
        <v>286</v>
      </c>
      <c r="D100" s="4" t="s">
        <v>8</v>
      </c>
      <c r="E100" s="4" t="s">
        <v>557</v>
      </c>
      <c r="F100" s="5">
        <v>0.6</v>
      </c>
      <c r="G100" s="10">
        <v>2.0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U100" s="8">
        <f t="shared" si="1"/>
        <v>0.6</v>
      </c>
      <c r="V100" s="8">
        <f t="shared" si="2"/>
        <v>103</v>
      </c>
      <c r="W100" s="8" t="str">
        <f t="shared" si="3"/>
        <v/>
      </c>
      <c r="X100" s="8" t="str">
        <f t="shared" si="4"/>
        <v>#N/A</v>
      </c>
    </row>
    <row r="101">
      <c r="A101" s="4">
        <f t="shared" si="5"/>
        <v>100</v>
      </c>
      <c r="B101" s="4" t="s">
        <v>293</v>
      </c>
      <c r="C101" s="4" t="s">
        <v>288</v>
      </c>
      <c r="D101" s="4" t="s">
        <v>8</v>
      </c>
      <c r="E101" s="4" t="s">
        <v>460</v>
      </c>
      <c r="F101" s="5">
        <v>1.7</v>
      </c>
      <c r="G101" s="10">
        <v>1.0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U101" s="8">
        <f t="shared" si="1"/>
        <v>1.7</v>
      </c>
      <c r="V101" s="8">
        <f t="shared" si="2"/>
        <v>51</v>
      </c>
      <c r="W101" s="8" t="str">
        <f t="shared" si="3"/>
        <v/>
      </c>
      <c r="X101" s="8" t="str">
        <f t="shared" si="4"/>
        <v>#N/A</v>
      </c>
    </row>
    <row r="102">
      <c r="A102" s="4">
        <f t="shared" si="5"/>
        <v>101</v>
      </c>
      <c r="B102" s="4" t="s">
        <v>294</v>
      </c>
      <c r="C102" s="4" t="s">
        <v>288</v>
      </c>
      <c r="D102" s="4" t="s">
        <v>8</v>
      </c>
      <c r="E102" s="4" t="s">
        <v>350</v>
      </c>
      <c r="F102" s="5">
        <v>1.7</v>
      </c>
      <c r="G102" s="10">
        <v>1.0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U102" s="8">
        <f t="shared" si="1"/>
        <v>1.7</v>
      </c>
      <c r="V102" s="8">
        <f t="shared" si="2"/>
        <v>51</v>
      </c>
      <c r="W102" s="8" t="str">
        <f t="shared" si="3"/>
        <v/>
      </c>
      <c r="X102" s="8" t="str">
        <f t="shared" si="4"/>
        <v>#N/A</v>
      </c>
    </row>
    <row r="103">
      <c r="A103" s="4">
        <f t="shared" si="5"/>
        <v>102</v>
      </c>
      <c r="B103" s="4" t="s">
        <v>288</v>
      </c>
      <c r="C103" s="4" t="s">
        <v>285</v>
      </c>
      <c r="D103" s="4" t="s">
        <v>8</v>
      </c>
      <c r="E103" s="4" t="s">
        <v>558</v>
      </c>
      <c r="F103" s="5">
        <v>0.9</v>
      </c>
      <c r="G103" s="10">
        <v>2.0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U103" s="8">
        <f t="shared" si="1"/>
        <v>0.9</v>
      </c>
      <c r="V103" s="8">
        <f t="shared" si="2"/>
        <v>77</v>
      </c>
      <c r="W103" s="8" t="str">
        <f t="shared" si="3"/>
        <v/>
      </c>
      <c r="X103" s="8" t="str">
        <f t="shared" si="4"/>
        <v>#N/A</v>
      </c>
    </row>
    <row r="104">
      <c r="A104" s="4">
        <f t="shared" si="5"/>
        <v>103</v>
      </c>
      <c r="B104" s="4" t="s">
        <v>280</v>
      </c>
      <c r="C104" s="4" t="s">
        <v>284</v>
      </c>
      <c r="D104" s="4" t="s">
        <v>8</v>
      </c>
      <c r="E104" s="4" t="s">
        <v>421</v>
      </c>
      <c r="F104" s="5">
        <v>0.9</v>
      </c>
      <c r="G104" s="10">
        <v>1.0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U104" s="8">
        <f t="shared" si="1"/>
        <v>0.9</v>
      </c>
      <c r="V104" s="8">
        <f t="shared" si="2"/>
        <v>77</v>
      </c>
      <c r="W104" s="8" t="str">
        <f t="shared" si="3"/>
        <v/>
      </c>
      <c r="X104" s="8" t="str">
        <f t="shared" si="4"/>
        <v>#N/A</v>
      </c>
    </row>
    <row r="105">
      <c r="A105" s="4">
        <f t="shared" si="5"/>
        <v>104</v>
      </c>
      <c r="B105" s="4" t="s">
        <v>287</v>
      </c>
      <c r="C105" s="4" t="s">
        <v>274</v>
      </c>
      <c r="D105" s="4" t="s">
        <v>8</v>
      </c>
      <c r="E105" s="4" t="s">
        <v>559</v>
      </c>
      <c r="F105" s="5">
        <v>0.8</v>
      </c>
      <c r="G105" s="10">
        <v>1.0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U105" s="8">
        <f t="shared" si="1"/>
        <v>0.8</v>
      </c>
      <c r="V105" s="8">
        <f t="shared" si="2"/>
        <v>86</v>
      </c>
      <c r="W105" s="8" t="str">
        <f t="shared" si="3"/>
        <v/>
      </c>
      <c r="X105" s="8" t="str">
        <f t="shared" si="4"/>
        <v>#N/A</v>
      </c>
    </row>
    <row r="106">
      <c r="A106" s="4">
        <f t="shared" si="5"/>
        <v>105</v>
      </c>
      <c r="B106" s="4" t="s">
        <v>281</v>
      </c>
      <c r="C106" s="4" t="s">
        <v>286</v>
      </c>
      <c r="D106" s="4" t="s">
        <v>8</v>
      </c>
      <c r="E106" s="4" t="s">
        <v>486</v>
      </c>
      <c r="F106" s="5">
        <v>0.7</v>
      </c>
      <c r="G106" s="10">
        <v>1.0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  <c r="U106" s="8">
        <f t="shared" si="1"/>
        <v>0.7</v>
      </c>
      <c r="V106" s="8">
        <f t="shared" si="2"/>
        <v>90</v>
      </c>
      <c r="W106" s="8" t="str">
        <f t="shared" si="3"/>
        <v/>
      </c>
      <c r="X106" s="8" t="str">
        <f t="shared" si="4"/>
        <v>#N/A</v>
      </c>
    </row>
    <row r="107">
      <c r="A107" s="4">
        <f t="shared" si="5"/>
        <v>106</v>
      </c>
      <c r="B107" s="4" t="s">
        <v>273</v>
      </c>
      <c r="C107" s="4" t="s">
        <v>294</v>
      </c>
      <c r="D107" s="4" t="s">
        <v>8</v>
      </c>
      <c r="E107" s="4" t="s">
        <v>238</v>
      </c>
      <c r="F107" s="5">
        <v>1.3</v>
      </c>
      <c r="G107" s="10">
        <v>4.0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U107" s="8">
        <f t="shared" si="1"/>
        <v>1.3</v>
      </c>
      <c r="V107" s="8">
        <f t="shared" si="2"/>
        <v>60</v>
      </c>
      <c r="W107" s="8" t="str">
        <f t="shared" si="3"/>
        <v/>
      </c>
      <c r="X107" s="8" t="str">
        <f t="shared" si="4"/>
        <v>#N/A</v>
      </c>
    </row>
    <row r="108">
      <c r="A108" s="4">
        <f t="shared" si="5"/>
        <v>107</v>
      </c>
      <c r="B108" s="4" t="s">
        <v>274</v>
      </c>
      <c r="C108" s="4" t="s">
        <v>285</v>
      </c>
      <c r="D108" s="4" t="s">
        <v>8</v>
      </c>
      <c r="E108" s="4" t="s">
        <v>560</v>
      </c>
      <c r="F108" s="5">
        <v>1.4</v>
      </c>
      <c r="G108" s="10">
        <v>1.0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U108" s="8">
        <f t="shared" si="1"/>
        <v>1.4</v>
      </c>
      <c r="V108" s="8">
        <f t="shared" si="2"/>
        <v>58</v>
      </c>
      <c r="W108" s="8" t="str">
        <f t="shared" si="3"/>
        <v/>
      </c>
      <c r="X108" s="8" t="str">
        <f t="shared" si="4"/>
        <v>#N/A</v>
      </c>
    </row>
    <row r="109">
      <c r="A109" s="4">
        <f t="shared" si="5"/>
        <v>108</v>
      </c>
      <c r="B109" s="4" t="s">
        <v>285</v>
      </c>
      <c r="C109" s="4" t="s">
        <v>287</v>
      </c>
      <c r="D109" s="4" t="s">
        <v>8</v>
      </c>
      <c r="E109" s="4" t="s">
        <v>254</v>
      </c>
      <c r="F109" s="5">
        <v>1.1</v>
      </c>
      <c r="G109" s="10">
        <v>2.0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r="U109" s="8">
        <f t="shared" si="1"/>
        <v>1.1</v>
      </c>
      <c r="V109" s="8">
        <f t="shared" si="2"/>
        <v>67</v>
      </c>
      <c r="W109" s="8" t="str">
        <f t="shared" si="3"/>
        <v/>
      </c>
      <c r="X109" s="8" t="str">
        <f t="shared" si="4"/>
        <v>#N/A</v>
      </c>
    </row>
    <row r="110">
      <c r="A110" s="4">
        <f t="shared" si="5"/>
        <v>109</v>
      </c>
      <c r="B110" s="4" t="s">
        <v>286</v>
      </c>
      <c r="C110" s="4" t="s">
        <v>294</v>
      </c>
      <c r="D110" s="4" t="s">
        <v>8</v>
      </c>
      <c r="E110" s="4" t="s">
        <v>424</v>
      </c>
      <c r="F110" s="5">
        <v>0.6</v>
      </c>
      <c r="G110" s="10">
        <v>1.0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U110" s="8">
        <f t="shared" si="1"/>
        <v>0.6</v>
      </c>
      <c r="V110" s="8">
        <f t="shared" si="2"/>
        <v>103</v>
      </c>
      <c r="W110" s="8" t="str">
        <f t="shared" si="3"/>
        <v/>
      </c>
      <c r="X110" s="8" t="str">
        <f t="shared" si="4"/>
        <v>#N/A</v>
      </c>
    </row>
    <row r="111">
      <c r="A111" s="4">
        <f t="shared" si="5"/>
        <v>110</v>
      </c>
      <c r="B111" s="4" t="s">
        <v>284</v>
      </c>
      <c r="C111" s="4" t="s">
        <v>273</v>
      </c>
      <c r="D111" s="4" t="s">
        <v>8</v>
      </c>
      <c r="E111" s="4" t="s">
        <v>344</v>
      </c>
      <c r="F111" s="5">
        <v>1.2</v>
      </c>
      <c r="G111" s="10">
        <v>1.0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U111" s="8">
        <f t="shared" si="1"/>
        <v>1.2</v>
      </c>
      <c r="V111" s="8">
        <f t="shared" si="2"/>
        <v>62</v>
      </c>
      <c r="W111" s="8" t="str">
        <f t="shared" si="3"/>
        <v/>
      </c>
      <c r="X111" s="8" t="str">
        <f t="shared" si="4"/>
        <v>#N/A</v>
      </c>
    </row>
    <row r="112">
      <c r="A112" s="4">
        <f t="shared" si="5"/>
        <v>111</v>
      </c>
      <c r="B112" s="4" t="s">
        <v>293</v>
      </c>
      <c r="C112" s="4" t="s">
        <v>286</v>
      </c>
      <c r="D112" s="4" t="s">
        <v>8</v>
      </c>
      <c r="E112" s="4" t="s">
        <v>336</v>
      </c>
      <c r="F112" s="5">
        <v>0.7</v>
      </c>
      <c r="G112" s="10">
        <v>1.0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U112" s="8">
        <f t="shared" si="1"/>
        <v>0.7</v>
      </c>
      <c r="V112" s="8">
        <f t="shared" si="2"/>
        <v>90</v>
      </c>
      <c r="W112" s="8" t="str">
        <f t="shared" si="3"/>
        <v/>
      </c>
      <c r="X112" s="8" t="str">
        <f t="shared" si="4"/>
        <v>#N/A</v>
      </c>
    </row>
    <row r="113">
      <c r="A113" s="4">
        <f t="shared" si="5"/>
        <v>112</v>
      </c>
      <c r="B113" s="4" t="s">
        <v>294</v>
      </c>
      <c r="C113" s="4" t="s">
        <v>294</v>
      </c>
      <c r="D113" s="4" t="s">
        <v>8</v>
      </c>
      <c r="E113" s="4" t="s">
        <v>166</v>
      </c>
      <c r="F113" s="5">
        <v>0.5</v>
      </c>
      <c r="G113" s="10">
        <v>1.0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U113" s="8">
        <f t="shared" si="1"/>
        <v>0.5</v>
      </c>
      <c r="V113" s="8">
        <f t="shared" si="2"/>
        <v>111</v>
      </c>
      <c r="W113" s="8" t="str">
        <f t="shared" si="3"/>
        <v/>
      </c>
      <c r="X113" s="8" t="str">
        <f t="shared" si="4"/>
        <v>#N/A</v>
      </c>
    </row>
    <row r="114">
      <c r="A114" s="4">
        <f t="shared" si="5"/>
        <v>113</v>
      </c>
      <c r="B114" s="4" t="s">
        <v>288</v>
      </c>
      <c r="C114" s="4" t="s">
        <v>284</v>
      </c>
      <c r="D114" s="4" t="s">
        <v>8</v>
      </c>
      <c r="E114" s="4" t="s">
        <v>459</v>
      </c>
      <c r="F114" s="5">
        <v>0.8</v>
      </c>
      <c r="G114" s="10">
        <v>1.0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U114" s="8">
        <f t="shared" si="1"/>
        <v>0.8</v>
      </c>
      <c r="V114" s="8">
        <f t="shared" si="2"/>
        <v>86</v>
      </c>
      <c r="W114" s="8" t="str">
        <f t="shared" si="3"/>
        <v/>
      </c>
      <c r="X114" s="8" t="str">
        <f t="shared" si="4"/>
        <v>#N/A</v>
      </c>
    </row>
    <row r="115">
      <c r="A115" s="4">
        <f t="shared" si="5"/>
        <v>114</v>
      </c>
      <c r="B115" s="4" t="s">
        <v>280</v>
      </c>
      <c r="C115" s="4" t="s">
        <v>281</v>
      </c>
      <c r="D115" s="4" t="s">
        <v>8</v>
      </c>
      <c r="E115" s="4" t="s">
        <v>499</v>
      </c>
      <c r="F115" s="5">
        <v>1.2</v>
      </c>
      <c r="G115" s="10">
        <v>1.0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U115" s="8">
        <f t="shared" si="1"/>
        <v>1.2</v>
      </c>
      <c r="V115" s="8">
        <f t="shared" si="2"/>
        <v>62</v>
      </c>
      <c r="W115" s="8" t="str">
        <f t="shared" si="3"/>
        <v/>
      </c>
      <c r="X115" s="8" t="str">
        <f t="shared" si="4"/>
        <v>#N/A</v>
      </c>
    </row>
    <row r="116">
      <c r="A116" s="4">
        <f t="shared" si="5"/>
        <v>115</v>
      </c>
      <c r="B116" s="4" t="s">
        <v>287</v>
      </c>
      <c r="C116" s="4" t="s">
        <v>294</v>
      </c>
      <c r="D116" s="4" t="s">
        <v>8</v>
      </c>
      <c r="E116" s="4" t="s">
        <v>419</v>
      </c>
      <c r="F116" s="5">
        <v>0.6</v>
      </c>
      <c r="G116" s="10">
        <v>1.0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U116" s="8">
        <f t="shared" si="1"/>
        <v>0.6</v>
      </c>
      <c r="V116" s="8">
        <f t="shared" si="2"/>
        <v>103</v>
      </c>
      <c r="W116" s="8" t="str">
        <f t="shared" si="3"/>
        <v/>
      </c>
      <c r="X116" s="8" t="str">
        <f t="shared" si="4"/>
        <v>#N/A</v>
      </c>
    </row>
    <row r="117">
      <c r="A117" s="4">
        <f t="shared" si="5"/>
        <v>116</v>
      </c>
      <c r="B117" s="4" t="s">
        <v>281</v>
      </c>
      <c r="C117" s="4" t="s">
        <v>281</v>
      </c>
      <c r="D117" s="4" t="s">
        <v>8</v>
      </c>
      <c r="E117" s="4" t="s">
        <v>163</v>
      </c>
      <c r="F117" s="5">
        <v>0.5</v>
      </c>
      <c r="G117" s="10">
        <v>1.0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U117" s="8">
        <f t="shared" si="1"/>
        <v>0.5</v>
      </c>
      <c r="V117" s="8">
        <f t="shared" si="2"/>
        <v>111</v>
      </c>
      <c r="W117" s="8" t="str">
        <f t="shared" si="3"/>
        <v/>
      </c>
      <c r="X117" s="8" t="str">
        <f t="shared" si="4"/>
        <v>#N/A</v>
      </c>
    </row>
    <row r="118">
      <c r="A118" s="4">
        <f t="shared" si="5"/>
        <v>117</v>
      </c>
      <c r="B118" s="4" t="s">
        <v>273</v>
      </c>
      <c r="C118" s="4" t="s">
        <v>286</v>
      </c>
      <c r="D118" s="4" t="s">
        <v>8</v>
      </c>
      <c r="E118" s="4" t="s">
        <v>561</v>
      </c>
      <c r="F118" s="5">
        <v>0.7</v>
      </c>
      <c r="G118" s="10">
        <v>1.0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U118" s="8">
        <f t="shared" si="1"/>
        <v>0.7</v>
      </c>
      <c r="V118" s="8">
        <f t="shared" si="2"/>
        <v>90</v>
      </c>
      <c r="W118" s="8" t="str">
        <f t="shared" si="3"/>
        <v/>
      </c>
      <c r="X118" s="8" t="str">
        <f t="shared" si="4"/>
        <v>#N/A</v>
      </c>
    </row>
    <row r="119">
      <c r="A119" s="4">
        <f t="shared" si="5"/>
        <v>118</v>
      </c>
      <c r="B119" s="4" t="s">
        <v>274</v>
      </c>
      <c r="C119" s="4" t="s">
        <v>285</v>
      </c>
      <c r="D119" s="4" t="s">
        <v>8</v>
      </c>
      <c r="E119" s="4" t="s">
        <v>70</v>
      </c>
      <c r="F119" s="5">
        <v>0.7</v>
      </c>
      <c r="G119" s="10">
        <v>1.0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U119" s="8">
        <f t="shared" si="1"/>
        <v>0.7</v>
      </c>
      <c r="V119" s="8">
        <f t="shared" si="2"/>
        <v>90</v>
      </c>
      <c r="W119" s="8" t="str">
        <f t="shared" si="3"/>
        <v/>
      </c>
      <c r="X119" s="8" t="str">
        <f t="shared" si="4"/>
        <v>#N/A</v>
      </c>
    </row>
    <row r="120">
      <c r="A120" s="4">
        <f t="shared" si="5"/>
        <v>119</v>
      </c>
      <c r="B120" s="4" t="s">
        <v>285</v>
      </c>
      <c r="C120" s="4" t="s">
        <v>285</v>
      </c>
      <c r="D120" s="4" t="s">
        <v>8</v>
      </c>
      <c r="E120" s="4" t="s">
        <v>562</v>
      </c>
      <c r="F120" s="5">
        <v>0.5</v>
      </c>
      <c r="G120" s="10">
        <v>1.0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U120" s="8">
        <f t="shared" si="1"/>
        <v>0.5</v>
      </c>
      <c r="V120" s="8">
        <f t="shared" si="2"/>
        <v>111</v>
      </c>
      <c r="W120" s="8" t="str">
        <f t="shared" si="3"/>
        <v/>
      </c>
      <c r="X120" s="8" t="str">
        <f t="shared" si="4"/>
        <v>#N/A</v>
      </c>
    </row>
    <row r="121">
      <c r="A121" s="4">
        <f t="shared" si="5"/>
        <v>120</v>
      </c>
      <c r="B121" s="4" t="s">
        <v>286</v>
      </c>
      <c r="C121" s="4" t="s">
        <v>280</v>
      </c>
      <c r="D121" s="4" t="s">
        <v>8</v>
      </c>
      <c r="E121" s="4" t="s">
        <v>445</v>
      </c>
      <c r="F121" s="5">
        <v>0.7</v>
      </c>
      <c r="G121" s="10">
        <v>2.0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U121" s="8">
        <f t="shared" si="1"/>
        <v>0.7</v>
      </c>
      <c r="V121" s="8">
        <f t="shared" si="2"/>
        <v>90</v>
      </c>
      <c r="W121" s="8" t="str">
        <f t="shared" si="3"/>
        <v/>
      </c>
      <c r="X121" s="8" t="str">
        <f t="shared" si="4"/>
        <v>#N/A</v>
      </c>
    </row>
    <row r="122">
      <c r="A122" s="4">
        <f t="shared" si="5"/>
        <v>121</v>
      </c>
      <c r="B122" s="4" t="s">
        <v>284</v>
      </c>
      <c r="C122" s="4" t="s">
        <v>284</v>
      </c>
      <c r="D122" s="4" t="s">
        <v>8</v>
      </c>
      <c r="E122" s="4" t="s">
        <v>503</v>
      </c>
      <c r="F122" s="5">
        <v>0.9</v>
      </c>
      <c r="G122" s="10">
        <v>2.0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U122" s="8">
        <f t="shared" si="1"/>
        <v>0.9</v>
      </c>
      <c r="V122" s="8">
        <f t="shared" si="2"/>
        <v>77</v>
      </c>
      <c r="W122" s="8" t="str">
        <f t="shared" si="3"/>
        <v/>
      </c>
      <c r="X122" s="8" t="str">
        <f t="shared" si="4"/>
        <v>#N/A</v>
      </c>
    </row>
    <row r="123">
      <c r="A123" s="4">
        <f t="shared" si="5"/>
        <v>122</v>
      </c>
      <c r="B123" s="4" t="s">
        <v>293</v>
      </c>
      <c r="C123" s="4" t="s">
        <v>293</v>
      </c>
      <c r="D123" s="4" t="s">
        <v>8</v>
      </c>
      <c r="E123" s="4" t="s">
        <v>563</v>
      </c>
      <c r="F123" s="5">
        <v>0.5</v>
      </c>
      <c r="G123" s="10">
        <v>1.0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U123" s="8">
        <f t="shared" si="1"/>
        <v>0.5</v>
      </c>
      <c r="V123" s="8">
        <f t="shared" si="2"/>
        <v>111</v>
      </c>
      <c r="W123" s="8" t="str">
        <f t="shared" si="3"/>
        <v/>
      </c>
      <c r="X123" s="8" t="str">
        <f t="shared" si="4"/>
        <v>#N/A</v>
      </c>
    </row>
    <row r="124">
      <c r="A124" s="4">
        <f t="shared" si="5"/>
        <v>123</v>
      </c>
      <c r="B124" s="4" t="s">
        <v>294</v>
      </c>
      <c r="C124" s="4" t="s">
        <v>294</v>
      </c>
      <c r="D124" s="4" t="s">
        <v>8</v>
      </c>
      <c r="E124" s="4" t="s">
        <v>102</v>
      </c>
      <c r="F124" s="5">
        <v>0.7</v>
      </c>
      <c r="G124" s="10">
        <v>1.0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U124" s="8">
        <f t="shared" si="1"/>
        <v>0.7</v>
      </c>
      <c r="V124" s="8">
        <f t="shared" si="2"/>
        <v>90</v>
      </c>
      <c r="W124" s="8" t="str">
        <f t="shared" si="3"/>
        <v/>
      </c>
      <c r="X124" s="8" t="str">
        <f t="shared" si="4"/>
        <v>#N/A</v>
      </c>
    </row>
    <row r="125">
      <c r="A125" s="4">
        <f t="shared" si="5"/>
        <v>124</v>
      </c>
      <c r="B125" s="4" t="s">
        <v>288</v>
      </c>
      <c r="C125" s="4" t="s">
        <v>273</v>
      </c>
      <c r="D125" s="4" t="s">
        <v>8</v>
      </c>
      <c r="E125" s="4" t="s">
        <v>161</v>
      </c>
      <c r="F125" s="5">
        <v>0.7</v>
      </c>
      <c r="G125" s="10">
        <v>3.0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U125" s="8">
        <f t="shared" si="1"/>
        <v>0.7</v>
      </c>
      <c r="V125" s="8">
        <f t="shared" si="2"/>
        <v>90</v>
      </c>
      <c r="W125" s="8" t="str">
        <f t="shared" si="3"/>
        <v/>
      </c>
      <c r="X125" s="8" t="str">
        <f t="shared" si="4"/>
        <v>#N/A</v>
      </c>
    </row>
    <row r="126">
      <c r="A126" s="4">
        <f t="shared" si="5"/>
        <v>125</v>
      </c>
      <c r="B126" s="4" t="s">
        <v>287</v>
      </c>
      <c r="C126" s="4" t="s">
        <v>287</v>
      </c>
      <c r="D126" s="4" t="s">
        <v>8</v>
      </c>
      <c r="E126" s="4" t="s">
        <v>564</v>
      </c>
      <c r="F126" s="5">
        <v>0.5</v>
      </c>
      <c r="G126" s="10">
        <v>2.0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U126" s="8">
        <f t="shared" si="1"/>
        <v>0.5</v>
      </c>
      <c r="V126" s="8">
        <f t="shared" si="2"/>
        <v>111</v>
      </c>
      <c r="W126" s="8" t="str">
        <f t="shared" si="3"/>
        <v/>
      </c>
      <c r="X126" s="8" t="str">
        <f t="shared" si="4"/>
        <v>#N/A</v>
      </c>
    </row>
    <row r="127">
      <c r="A127" s="4">
        <f t="shared" si="5"/>
        <v>126</v>
      </c>
      <c r="B127" s="4" t="s">
        <v>281</v>
      </c>
      <c r="C127" s="4" t="s">
        <v>281</v>
      </c>
      <c r="D127" s="4" t="s">
        <v>8</v>
      </c>
      <c r="E127" s="4" t="s">
        <v>565</v>
      </c>
      <c r="F127" s="5">
        <v>0.5</v>
      </c>
      <c r="G127" s="10">
        <v>2.0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U127" s="8">
        <f t="shared" si="1"/>
        <v>0.5</v>
      </c>
      <c r="V127" s="8">
        <f t="shared" si="2"/>
        <v>111</v>
      </c>
      <c r="W127" s="8" t="str">
        <f t="shared" si="3"/>
        <v/>
      </c>
      <c r="X127" s="8" t="str">
        <f t="shared" si="4"/>
        <v>#N/A</v>
      </c>
    </row>
    <row r="128">
      <c r="A128" s="4">
        <f t="shared" si="5"/>
        <v>127</v>
      </c>
      <c r="B128" s="4" t="s">
        <v>273</v>
      </c>
      <c r="C128" s="4" t="s">
        <v>286</v>
      </c>
      <c r="D128" s="4" t="s">
        <v>8</v>
      </c>
      <c r="E128" s="4" t="s">
        <v>326</v>
      </c>
      <c r="F128" s="5">
        <v>0.9</v>
      </c>
      <c r="G128" s="10">
        <v>1.0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U128" s="8">
        <f t="shared" si="1"/>
        <v>0.9</v>
      </c>
      <c r="V128" s="8">
        <f t="shared" si="2"/>
        <v>77</v>
      </c>
      <c r="W128" s="8" t="str">
        <f t="shared" si="3"/>
        <v/>
      </c>
      <c r="X128" s="8" t="str">
        <f t="shared" si="4"/>
        <v>#N/A</v>
      </c>
    </row>
    <row r="129">
      <c r="A129" s="4">
        <f t="shared" si="5"/>
        <v>128</v>
      </c>
      <c r="B129" s="4" t="s">
        <v>274</v>
      </c>
      <c r="C129" s="4" t="s">
        <v>286</v>
      </c>
      <c r="D129" s="4" t="s">
        <v>8</v>
      </c>
      <c r="E129" s="4" t="s">
        <v>566</v>
      </c>
      <c r="F129" s="5">
        <v>0.9</v>
      </c>
      <c r="G129" s="10">
        <v>1.0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U129" s="8">
        <f t="shared" si="1"/>
        <v>0.9</v>
      </c>
      <c r="V129" s="8">
        <f t="shared" si="2"/>
        <v>77</v>
      </c>
      <c r="W129" s="8" t="str">
        <f t="shared" si="3"/>
        <v/>
      </c>
      <c r="X129" s="8" t="str">
        <f t="shared" si="4"/>
        <v>#N/A</v>
      </c>
    </row>
    <row r="130">
      <c r="A130" s="4">
        <f t="shared" si="5"/>
        <v>129</v>
      </c>
      <c r="B130" s="4" t="s">
        <v>285</v>
      </c>
      <c r="C130" s="4" t="s">
        <v>285</v>
      </c>
      <c r="D130" s="4" t="s">
        <v>8</v>
      </c>
      <c r="E130" s="4" t="s">
        <v>423</v>
      </c>
      <c r="F130" s="5">
        <v>0.5</v>
      </c>
      <c r="G130" s="10">
        <v>1.0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U130" s="8">
        <f t="shared" si="1"/>
        <v>0.5</v>
      </c>
      <c r="V130" s="8">
        <f t="shared" si="2"/>
        <v>111</v>
      </c>
      <c r="W130" s="8" t="str">
        <f t="shared" si="3"/>
        <v/>
      </c>
      <c r="X130" s="8" t="str">
        <f t="shared" si="4"/>
        <v>#N/A</v>
      </c>
    </row>
    <row r="131">
      <c r="A131" s="4">
        <f t="shared" si="5"/>
        <v>130</v>
      </c>
      <c r="B131" s="4" t="s">
        <v>286</v>
      </c>
      <c r="C131" s="4" t="s">
        <v>286</v>
      </c>
      <c r="D131" s="4" t="s">
        <v>8</v>
      </c>
      <c r="E131" s="4" t="s">
        <v>352</v>
      </c>
      <c r="F131" s="5">
        <v>1.0</v>
      </c>
      <c r="G131" s="10">
        <v>1.0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U131" s="8">
        <f t="shared" si="1"/>
        <v>1</v>
      </c>
      <c r="V131" s="8">
        <f t="shared" si="2"/>
        <v>71</v>
      </c>
      <c r="W131" s="8" t="str">
        <f t="shared" si="3"/>
        <v/>
      </c>
      <c r="X131" s="8" t="str">
        <f t="shared" si="4"/>
        <v>#N/A</v>
      </c>
    </row>
    <row r="132">
      <c r="A132" s="4">
        <f t="shared" si="5"/>
        <v>131</v>
      </c>
      <c r="B132" s="4" t="s">
        <v>293</v>
      </c>
      <c r="C132" s="4" t="s">
        <v>293</v>
      </c>
      <c r="D132" s="4" t="s">
        <v>8</v>
      </c>
      <c r="E132" s="4" t="s">
        <v>457</v>
      </c>
      <c r="F132" s="5">
        <v>0.5</v>
      </c>
      <c r="G132" s="10">
        <v>1.0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U132" s="8">
        <f t="shared" si="1"/>
        <v>0.5</v>
      </c>
      <c r="V132" s="8">
        <f t="shared" si="2"/>
        <v>111</v>
      </c>
      <c r="W132" s="8" t="str">
        <f t="shared" si="3"/>
        <v/>
      </c>
      <c r="X132" s="8" t="str">
        <f t="shared" si="4"/>
        <v>#N/A</v>
      </c>
    </row>
    <row r="133">
      <c r="A133" s="4">
        <f t="shared" si="5"/>
        <v>132</v>
      </c>
      <c r="B133" s="4" t="s">
        <v>294</v>
      </c>
      <c r="C133" s="4" t="s">
        <v>286</v>
      </c>
      <c r="D133" s="4" t="s">
        <v>8</v>
      </c>
      <c r="E133" s="4" t="s">
        <v>62</v>
      </c>
      <c r="F133" s="5">
        <v>1.0</v>
      </c>
      <c r="G133" s="10">
        <v>1.0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U133" s="8">
        <f t="shared" si="1"/>
        <v>1</v>
      </c>
      <c r="V133" s="8">
        <f t="shared" si="2"/>
        <v>71</v>
      </c>
      <c r="W133" s="8" t="str">
        <f t="shared" si="3"/>
        <v/>
      </c>
      <c r="X133" s="8" t="str">
        <f t="shared" si="4"/>
        <v>#N/A</v>
      </c>
    </row>
    <row r="134">
      <c r="A134" s="4">
        <f t="shared" si="5"/>
        <v>133</v>
      </c>
      <c r="B134" s="4" t="s">
        <v>288</v>
      </c>
      <c r="C134" s="4" t="s">
        <v>281</v>
      </c>
      <c r="D134" s="4" t="s">
        <v>8</v>
      </c>
      <c r="E134" s="4" t="s">
        <v>114</v>
      </c>
      <c r="F134" s="5">
        <v>0.7</v>
      </c>
      <c r="G134" s="10">
        <v>3.0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U134" s="8">
        <f t="shared" si="1"/>
        <v>0.7</v>
      </c>
      <c r="V134" s="8">
        <f t="shared" si="2"/>
        <v>90</v>
      </c>
      <c r="W134" s="8" t="str">
        <f t="shared" si="3"/>
        <v/>
      </c>
      <c r="X134" s="8" t="str">
        <f t="shared" si="4"/>
        <v>#N/A</v>
      </c>
    </row>
    <row r="135">
      <c r="A135" s="4">
        <f t="shared" si="5"/>
        <v>134</v>
      </c>
      <c r="B135" s="4" t="s">
        <v>287</v>
      </c>
      <c r="C135" s="4" t="s">
        <v>273</v>
      </c>
      <c r="D135" s="4" t="s">
        <v>8</v>
      </c>
      <c r="E135" s="4" t="s">
        <v>74</v>
      </c>
      <c r="F135" s="5">
        <v>1.0</v>
      </c>
      <c r="G135" s="10">
        <v>3.0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U135" s="8">
        <f t="shared" si="1"/>
        <v>1</v>
      </c>
      <c r="V135" s="8">
        <f t="shared" si="2"/>
        <v>71</v>
      </c>
      <c r="W135" s="8" t="str">
        <f t="shared" si="3"/>
        <v/>
      </c>
      <c r="X135" s="8" t="str">
        <f t="shared" si="4"/>
        <v>#N/A</v>
      </c>
    </row>
    <row r="136">
      <c r="A136" s="4">
        <f t="shared" si="5"/>
        <v>135</v>
      </c>
      <c r="B136" s="4" t="s">
        <v>281</v>
      </c>
      <c r="C136" s="4" t="s">
        <v>281</v>
      </c>
      <c r="D136" s="4" t="s">
        <v>8</v>
      </c>
      <c r="E136" s="4" t="s">
        <v>567</v>
      </c>
      <c r="F136" s="5">
        <v>0.5</v>
      </c>
      <c r="G136" s="10">
        <v>4.0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U136" s="8">
        <f t="shared" si="1"/>
        <v>0.5</v>
      </c>
      <c r="V136" s="8">
        <f t="shared" si="2"/>
        <v>111</v>
      </c>
      <c r="W136" s="8" t="str">
        <f t="shared" si="3"/>
        <v/>
      </c>
      <c r="X136" s="8" t="str">
        <f t="shared" si="4"/>
        <v>#N/A</v>
      </c>
    </row>
    <row r="137">
      <c r="A137" s="4">
        <f t="shared" si="5"/>
        <v>136</v>
      </c>
      <c r="B137" s="4" t="s">
        <v>273</v>
      </c>
      <c r="C137" s="4" t="s">
        <v>294</v>
      </c>
      <c r="D137" s="4" t="s">
        <v>8</v>
      </c>
      <c r="E137" s="4" t="s">
        <v>568</v>
      </c>
      <c r="F137" s="5">
        <v>0.6</v>
      </c>
      <c r="G137" s="10">
        <v>1.0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U137" s="8">
        <f t="shared" si="1"/>
        <v>0.6</v>
      </c>
      <c r="V137" s="8">
        <f t="shared" si="2"/>
        <v>103</v>
      </c>
      <c r="W137" s="8" t="str">
        <f t="shared" si="3"/>
        <v/>
      </c>
      <c r="X137" s="8" t="str">
        <f t="shared" si="4"/>
        <v>#N/A</v>
      </c>
    </row>
    <row r="138">
      <c r="A138" s="4">
        <f t="shared" si="5"/>
        <v>137</v>
      </c>
      <c r="B138" s="4" t="s">
        <v>274</v>
      </c>
      <c r="C138" s="4" t="s">
        <v>274</v>
      </c>
      <c r="D138" s="4" t="s">
        <v>8</v>
      </c>
      <c r="E138" s="4" t="s">
        <v>247</v>
      </c>
      <c r="F138" s="5">
        <v>0.9</v>
      </c>
      <c r="G138" s="10">
        <v>2.0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U138" s="8">
        <f t="shared" si="1"/>
        <v>0.9</v>
      </c>
      <c r="V138" s="8">
        <f t="shared" si="2"/>
        <v>77</v>
      </c>
      <c r="W138" s="8" t="str">
        <f t="shared" si="3"/>
        <v/>
      </c>
      <c r="X138" s="8" t="str">
        <f t="shared" si="4"/>
        <v>#N/A</v>
      </c>
    </row>
    <row r="139">
      <c r="A139" s="4">
        <f t="shared" si="5"/>
        <v>138</v>
      </c>
      <c r="B139" s="4" t="s">
        <v>285</v>
      </c>
      <c r="C139" s="4" t="s">
        <v>274</v>
      </c>
      <c r="D139" s="4" t="s">
        <v>8</v>
      </c>
      <c r="E139" s="4" t="s">
        <v>542</v>
      </c>
      <c r="F139" s="5">
        <v>0.6</v>
      </c>
      <c r="G139" s="10">
        <v>1.0</v>
      </c>
      <c r="H139" s="7"/>
      <c r="I139" s="7"/>
      <c r="J139" s="7"/>
      <c r="K139" s="7"/>
      <c r="L139" s="7"/>
      <c r="M139" s="7"/>
      <c r="N139" s="7"/>
      <c r="O139" s="7"/>
      <c r="P139" s="7"/>
      <c r="Q139" s="7"/>
      <c r="U139" s="8">
        <f t="shared" si="1"/>
        <v>0.6</v>
      </c>
      <c r="V139" s="8">
        <f t="shared" si="2"/>
        <v>103</v>
      </c>
      <c r="W139" s="8" t="str">
        <f t="shared" si="3"/>
        <v/>
      </c>
      <c r="X139" s="8" t="str">
        <f t="shared" si="4"/>
        <v>#N/A</v>
      </c>
    </row>
    <row r="140">
      <c r="A140" s="4">
        <f t="shared" si="5"/>
        <v>139</v>
      </c>
      <c r="B140" s="4" t="s">
        <v>286</v>
      </c>
      <c r="C140" s="4" t="s">
        <v>286</v>
      </c>
      <c r="D140" s="4" t="s">
        <v>8</v>
      </c>
      <c r="E140" s="4" t="s">
        <v>94</v>
      </c>
      <c r="F140" s="5">
        <v>0.5</v>
      </c>
      <c r="G140" s="10">
        <v>1.0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U140" s="8">
        <f t="shared" si="1"/>
        <v>0.5</v>
      </c>
      <c r="V140" s="8">
        <f t="shared" si="2"/>
        <v>111</v>
      </c>
      <c r="W140" s="8" t="str">
        <f t="shared" si="3"/>
        <v/>
      </c>
      <c r="X140" s="8" t="str">
        <f t="shared" si="4"/>
        <v>#N/A</v>
      </c>
    </row>
    <row r="141">
      <c r="A141" s="4">
        <f t="shared" si="5"/>
        <v>140</v>
      </c>
      <c r="B141" s="4" t="s">
        <v>293</v>
      </c>
      <c r="C141" s="4" t="s">
        <v>293</v>
      </c>
      <c r="D141" s="4" t="s">
        <v>8</v>
      </c>
      <c r="E141" s="4" t="s">
        <v>569</v>
      </c>
      <c r="F141" s="5">
        <v>0.5</v>
      </c>
      <c r="G141" s="10">
        <v>3.0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  <c r="U141" s="8">
        <f t="shared" si="1"/>
        <v>0.5</v>
      </c>
      <c r="V141" s="8">
        <f t="shared" si="2"/>
        <v>111</v>
      </c>
      <c r="W141" s="8" t="str">
        <f t="shared" si="3"/>
        <v/>
      </c>
      <c r="X141" s="8" t="str">
        <f t="shared" si="4"/>
        <v>#N/A</v>
      </c>
    </row>
    <row r="142">
      <c r="A142" s="4">
        <f t="shared" si="5"/>
        <v>141</v>
      </c>
      <c r="B142" s="4" t="s">
        <v>288</v>
      </c>
      <c r="C142" s="4" t="s">
        <v>287</v>
      </c>
      <c r="D142" s="4" t="s">
        <v>8</v>
      </c>
      <c r="E142" s="4" t="s">
        <v>165</v>
      </c>
      <c r="F142" s="5">
        <v>0.6</v>
      </c>
      <c r="G142" s="10">
        <v>5.0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U142" s="8">
        <f t="shared" si="1"/>
        <v>0.6</v>
      </c>
      <c r="V142" s="8">
        <f t="shared" si="2"/>
        <v>103</v>
      </c>
      <c r="W142" s="8" t="str">
        <f t="shared" si="3"/>
        <v/>
      </c>
      <c r="X142" s="8" t="str">
        <f t="shared" si="4"/>
        <v>#N/A</v>
      </c>
    </row>
    <row r="143">
      <c r="A143" s="4">
        <f t="shared" si="5"/>
        <v>142</v>
      </c>
      <c r="B143" s="4" t="s">
        <v>287</v>
      </c>
      <c r="C143" s="4" t="s">
        <v>281</v>
      </c>
      <c r="D143" s="4" t="s">
        <v>8</v>
      </c>
      <c r="E143" s="4" t="s">
        <v>570</v>
      </c>
      <c r="F143" s="5">
        <v>0.6</v>
      </c>
      <c r="G143" s="10">
        <v>5.0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U143" s="8">
        <f t="shared" si="1"/>
        <v>0.6</v>
      </c>
      <c r="V143" s="8">
        <f t="shared" si="2"/>
        <v>103</v>
      </c>
      <c r="W143" s="8" t="str">
        <f t="shared" si="3"/>
        <v/>
      </c>
      <c r="X143" s="8" t="str">
        <f t="shared" si="4"/>
        <v>#N/A</v>
      </c>
    </row>
    <row r="144">
      <c r="A144" s="4">
        <f t="shared" si="5"/>
        <v>143</v>
      </c>
      <c r="B144" s="4" t="s">
        <v>273</v>
      </c>
      <c r="C144" s="4" t="s">
        <v>273</v>
      </c>
      <c r="D144" s="4" t="s">
        <v>8</v>
      </c>
      <c r="E144" s="4" t="s">
        <v>430</v>
      </c>
      <c r="F144" s="5">
        <v>0.5</v>
      </c>
      <c r="G144" s="10">
        <v>1.0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U144" s="8">
        <f t="shared" si="1"/>
        <v>0.5</v>
      </c>
      <c r="V144" s="8">
        <f t="shared" si="2"/>
        <v>111</v>
      </c>
      <c r="W144" s="8" t="str">
        <f t="shared" si="3"/>
        <v/>
      </c>
      <c r="X144" s="8" t="str">
        <f t="shared" si="4"/>
        <v>#N/A</v>
      </c>
    </row>
    <row r="145">
      <c r="A145" s="4">
        <f t="shared" si="5"/>
        <v>144</v>
      </c>
      <c r="B145" s="4" t="s">
        <v>293</v>
      </c>
      <c r="C145" s="4" t="s">
        <v>288</v>
      </c>
      <c r="D145" s="4" t="s">
        <v>8</v>
      </c>
      <c r="E145" s="4" t="s">
        <v>571</v>
      </c>
      <c r="F145" s="5">
        <v>0.5</v>
      </c>
      <c r="G145" s="10">
        <v>1.0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U145" s="8">
        <f t="shared" si="1"/>
        <v>0.5</v>
      </c>
      <c r="V145" s="8">
        <f t="shared" si="2"/>
        <v>111</v>
      </c>
      <c r="W145" s="8" t="str">
        <f t="shared" si="3"/>
        <v/>
      </c>
      <c r="X145" s="8" t="str">
        <f t="shared" si="4"/>
        <v>#N/A</v>
      </c>
    </row>
    <row r="146">
      <c r="A146" s="4">
        <f t="shared" si="5"/>
        <v>145</v>
      </c>
      <c r="B146" s="4" t="s">
        <v>288</v>
      </c>
      <c r="C146" s="4" t="s">
        <v>288</v>
      </c>
      <c r="D146" s="4" t="s">
        <v>8</v>
      </c>
      <c r="E146" s="4" t="s">
        <v>485</v>
      </c>
      <c r="F146" s="5">
        <v>0.5</v>
      </c>
      <c r="G146" s="10">
        <v>1.0</v>
      </c>
      <c r="H146" s="7"/>
      <c r="I146" s="7"/>
      <c r="J146" s="7"/>
      <c r="K146" s="7"/>
      <c r="L146" s="7"/>
      <c r="M146" s="7"/>
      <c r="N146" s="7"/>
      <c r="O146" s="7"/>
      <c r="P146" s="7"/>
      <c r="Q146" s="7"/>
      <c r="U146" s="8">
        <f t="shared" si="1"/>
        <v>0.5</v>
      </c>
      <c r="V146" s="8">
        <f t="shared" si="2"/>
        <v>111</v>
      </c>
      <c r="W146" s="8" t="str">
        <f t="shared" si="3"/>
        <v/>
      </c>
      <c r="X146" s="8" t="str">
        <f t="shared" si="4"/>
        <v>#N/A</v>
      </c>
    </row>
    <row r="147">
      <c r="A147" s="4">
        <f t="shared" si="5"/>
        <v>146</v>
      </c>
      <c r="B147" s="4" t="s">
        <v>287</v>
      </c>
      <c r="C147" s="4" t="s">
        <v>273</v>
      </c>
      <c r="D147" s="4" t="s">
        <v>8</v>
      </c>
      <c r="E147" s="4" t="s">
        <v>538</v>
      </c>
      <c r="F147" s="5">
        <v>0.7</v>
      </c>
      <c r="G147" s="10">
        <v>1.0</v>
      </c>
      <c r="H147" s="7"/>
      <c r="I147" s="7"/>
      <c r="J147" s="7"/>
      <c r="K147" s="7"/>
      <c r="L147" s="7"/>
      <c r="M147" s="7"/>
      <c r="N147" s="7"/>
      <c r="O147" s="7"/>
      <c r="P147" s="7"/>
      <c r="Q147" s="7"/>
      <c r="U147" s="8">
        <f t="shared" si="1"/>
        <v>0.7</v>
      </c>
      <c r="V147" s="8">
        <f t="shared" si="2"/>
        <v>90</v>
      </c>
      <c r="W147" s="8" t="str">
        <f t="shared" si="3"/>
        <v/>
      </c>
      <c r="X147" s="8" t="str">
        <f t="shared" si="4"/>
        <v>#N/A</v>
      </c>
    </row>
    <row r="148">
      <c r="A148" s="4">
        <f t="shared" si="5"/>
        <v>147</v>
      </c>
      <c r="B148" s="4" t="s">
        <v>293</v>
      </c>
      <c r="C148" s="4" t="s">
        <v>293</v>
      </c>
      <c r="D148" s="4" t="s">
        <v>8</v>
      </c>
      <c r="E148" s="4" t="s">
        <v>572</v>
      </c>
      <c r="F148" s="5">
        <v>0.5</v>
      </c>
      <c r="G148" s="10">
        <v>1.0</v>
      </c>
      <c r="H148" s="7"/>
      <c r="I148" s="7"/>
      <c r="J148" s="7"/>
      <c r="K148" s="7"/>
      <c r="L148" s="7"/>
      <c r="M148" s="7"/>
      <c r="N148" s="7"/>
      <c r="O148" s="7"/>
      <c r="P148" s="7"/>
      <c r="Q148" s="7"/>
      <c r="U148" s="8">
        <f t="shared" si="1"/>
        <v>0.5</v>
      </c>
      <c r="V148" s="8">
        <f t="shared" si="2"/>
        <v>111</v>
      </c>
      <c r="W148" s="8" t="str">
        <f t="shared" si="3"/>
        <v/>
      </c>
      <c r="X148" s="8" t="str">
        <f t="shared" si="4"/>
        <v>#N/A</v>
      </c>
    </row>
    <row r="149">
      <c r="A149" s="4">
        <f t="shared" si="5"/>
        <v>148</v>
      </c>
      <c r="B149" s="4" t="s">
        <v>288</v>
      </c>
      <c r="C149" s="4" t="s">
        <v>288</v>
      </c>
      <c r="D149" s="4" t="s">
        <v>8</v>
      </c>
      <c r="E149" s="4" t="s">
        <v>573</v>
      </c>
      <c r="F149" s="5">
        <v>0.5</v>
      </c>
      <c r="G149" s="10">
        <v>1.0</v>
      </c>
      <c r="H149" s="7"/>
      <c r="I149" s="7"/>
      <c r="J149" s="7"/>
      <c r="K149" s="7"/>
      <c r="L149" s="7"/>
      <c r="M149" s="7"/>
      <c r="N149" s="7"/>
      <c r="O149" s="7"/>
      <c r="P149" s="7"/>
      <c r="Q149" s="7"/>
      <c r="U149" s="8">
        <f t="shared" si="1"/>
        <v>0.5</v>
      </c>
      <c r="V149" s="8">
        <f t="shared" si="2"/>
        <v>111</v>
      </c>
      <c r="W149" s="8" t="str">
        <f t="shared" si="3"/>
        <v/>
      </c>
      <c r="X149" s="8" t="str">
        <f t="shared" si="4"/>
        <v>#N/A</v>
      </c>
    </row>
    <row r="150">
      <c r="A150" s="4">
        <f t="shared" si="5"/>
        <v>149</v>
      </c>
      <c r="B150" s="4" t="s">
        <v>287</v>
      </c>
      <c r="C150" s="4" t="s">
        <v>287</v>
      </c>
      <c r="D150" s="4" t="s">
        <v>8</v>
      </c>
      <c r="E150" s="4" t="s">
        <v>508</v>
      </c>
      <c r="F150" s="5">
        <v>0.5</v>
      </c>
      <c r="G150" s="10">
        <v>2.0</v>
      </c>
      <c r="H150" s="7"/>
      <c r="I150" s="7"/>
      <c r="J150" s="7"/>
      <c r="K150" s="7"/>
      <c r="L150" s="7"/>
      <c r="M150" s="7"/>
      <c r="N150" s="7"/>
      <c r="O150" s="7"/>
      <c r="P150" s="7"/>
      <c r="Q150" s="7"/>
      <c r="U150" s="8">
        <f t="shared" si="1"/>
        <v>0.5</v>
      </c>
      <c r="V150" s="8">
        <f t="shared" si="2"/>
        <v>111</v>
      </c>
      <c r="W150" s="8" t="str">
        <f t="shared" si="3"/>
        <v/>
      </c>
      <c r="X150" s="8" t="str">
        <f t="shared" si="4"/>
        <v>#N/A</v>
      </c>
    </row>
    <row r="151">
      <c r="A151" s="4">
        <f t="shared" si="5"/>
        <v>150</v>
      </c>
      <c r="B151" s="4" t="s">
        <v>293</v>
      </c>
      <c r="C151" s="4" t="s">
        <v>293</v>
      </c>
      <c r="D151" s="4" t="s">
        <v>8</v>
      </c>
      <c r="E151" s="4" t="s">
        <v>450</v>
      </c>
      <c r="F151" s="5">
        <v>0.5</v>
      </c>
      <c r="G151" s="10">
        <v>1.0</v>
      </c>
      <c r="H151" s="7"/>
      <c r="I151" s="7"/>
      <c r="J151" s="7"/>
      <c r="K151" s="7"/>
      <c r="L151" s="7"/>
      <c r="M151" s="7"/>
      <c r="N151" s="7"/>
      <c r="O151" s="7"/>
      <c r="P151" s="7"/>
      <c r="Q151" s="7"/>
      <c r="U151" s="8">
        <f t="shared" si="1"/>
        <v>0.5</v>
      </c>
      <c r="V151" s="8">
        <f t="shared" si="2"/>
        <v>111</v>
      </c>
      <c r="W151" s="8" t="str">
        <f t="shared" si="3"/>
        <v/>
      </c>
      <c r="X151" s="8" t="str">
        <f t="shared" si="4"/>
        <v>#N/A</v>
      </c>
    </row>
    <row r="152">
      <c r="A152" s="4">
        <f t="shared" si="5"/>
        <v>151</v>
      </c>
      <c r="B152" s="4" t="s">
        <v>288</v>
      </c>
      <c r="C152" s="4" t="s">
        <v>288</v>
      </c>
      <c r="D152" s="4" t="s">
        <v>8</v>
      </c>
      <c r="E152" s="4" t="s">
        <v>314</v>
      </c>
      <c r="F152" s="5">
        <v>0.5</v>
      </c>
      <c r="G152" s="10">
        <v>5.0</v>
      </c>
      <c r="H152" s="7"/>
      <c r="I152" s="7"/>
      <c r="J152" s="7"/>
      <c r="K152" s="7"/>
      <c r="L152" s="7"/>
      <c r="M152" s="7"/>
      <c r="N152" s="7"/>
      <c r="O152" s="7"/>
      <c r="P152" s="7"/>
      <c r="Q152" s="7"/>
      <c r="U152" s="8">
        <f t="shared" si="1"/>
        <v>0.5</v>
      </c>
      <c r="V152" s="8">
        <f t="shared" si="2"/>
        <v>111</v>
      </c>
      <c r="W152" s="8" t="str">
        <f t="shared" si="3"/>
        <v/>
      </c>
      <c r="X152" s="8" t="str">
        <f t="shared" si="4"/>
        <v>#N/A</v>
      </c>
    </row>
    <row r="153">
      <c r="A153" s="4">
        <f t="shared" si="5"/>
        <v>152</v>
      </c>
      <c r="B153" s="4" t="s">
        <v>287</v>
      </c>
      <c r="C153" s="4" t="s">
        <v>287</v>
      </c>
      <c r="D153" s="4" t="s">
        <v>8</v>
      </c>
      <c r="E153" s="4" t="s">
        <v>540</v>
      </c>
      <c r="F153" s="5">
        <v>0.5</v>
      </c>
      <c r="G153" s="10">
        <v>1.0</v>
      </c>
      <c r="H153" s="7"/>
      <c r="I153" s="7"/>
      <c r="J153" s="7"/>
      <c r="K153" s="7"/>
      <c r="L153" s="7"/>
      <c r="M153" s="7"/>
      <c r="N153" s="7"/>
      <c r="O153" s="7"/>
      <c r="P153" s="7"/>
      <c r="Q153" s="7"/>
      <c r="U153" s="8">
        <f t="shared" si="1"/>
        <v>0.5</v>
      </c>
      <c r="V153" s="8">
        <f t="shared" si="2"/>
        <v>111</v>
      </c>
      <c r="W153" s="8" t="str">
        <f t="shared" si="3"/>
        <v/>
      </c>
      <c r="X153" s="8" t="str">
        <f t="shared" si="4"/>
        <v>#N/A</v>
      </c>
    </row>
    <row r="154">
      <c r="A154" s="4">
        <f t="shared" si="5"/>
        <v>153</v>
      </c>
      <c r="B154" s="4" t="s">
        <v>287</v>
      </c>
      <c r="C154" s="4" t="s">
        <v>287</v>
      </c>
      <c r="D154" s="4" t="s">
        <v>8</v>
      </c>
      <c r="E154" s="4" t="s">
        <v>574</v>
      </c>
      <c r="F154" s="5">
        <v>0.5</v>
      </c>
      <c r="G154" s="10">
        <v>1.0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U154" s="8">
        <f t="shared" si="1"/>
        <v>0.5</v>
      </c>
      <c r="V154" s="8">
        <f t="shared" si="2"/>
        <v>111</v>
      </c>
      <c r="W154" s="8" t="str">
        <f t="shared" si="3"/>
        <v/>
      </c>
      <c r="X154" s="8" t="str">
        <f t="shared" si="4"/>
        <v>#N/A</v>
      </c>
    </row>
    <row r="155">
      <c r="A155" s="4">
        <f t="shared" si="5"/>
        <v>154</v>
      </c>
      <c r="B155" s="4" t="s">
        <v>287</v>
      </c>
      <c r="C155" s="4" t="s">
        <v>287</v>
      </c>
      <c r="D155" s="4" t="s">
        <v>8</v>
      </c>
      <c r="E155" s="4" t="s">
        <v>575</v>
      </c>
      <c r="F155" s="5">
        <v>0.5</v>
      </c>
      <c r="G155" s="10">
        <v>1.0</v>
      </c>
      <c r="H155" s="7"/>
      <c r="I155" s="7"/>
      <c r="J155" s="7"/>
      <c r="K155" s="7"/>
      <c r="L155" s="7"/>
      <c r="M155" s="7"/>
      <c r="N155" s="7"/>
      <c r="O155" s="7"/>
      <c r="P155" s="7"/>
      <c r="Q155" s="7"/>
      <c r="U155" s="8">
        <f t="shared" si="1"/>
        <v>0.5</v>
      </c>
      <c r="V155" s="8">
        <f t="shared" si="2"/>
        <v>111</v>
      </c>
      <c r="W155" s="8" t="str">
        <f t="shared" si="3"/>
        <v/>
      </c>
      <c r="X155" s="8" t="str">
        <f t="shared" si="4"/>
        <v>#N/A</v>
      </c>
    </row>
    <row r="156">
      <c r="A156" s="4"/>
      <c r="B156" s="4"/>
      <c r="C156" s="4"/>
      <c r="D156" s="4"/>
      <c r="E156" s="4"/>
      <c r="F156" s="5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  <c r="U156" s="8" t="str">
        <f t="shared" si="1"/>
        <v/>
      </c>
      <c r="W156" s="8" t="str">
        <f t="shared" si="3"/>
        <v/>
      </c>
    </row>
    <row r="157">
      <c r="A157" s="4"/>
      <c r="B157" s="4"/>
      <c r="C157" s="4"/>
      <c r="D157" s="4"/>
      <c r="E157" s="4"/>
      <c r="F157" s="5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U157" s="8" t="str">
        <f t="shared" si="1"/>
        <v/>
      </c>
      <c r="W157" s="8" t="str">
        <f t="shared" si="3"/>
        <v/>
      </c>
    </row>
    <row r="158">
      <c r="A158" s="4"/>
      <c r="B158" s="4"/>
      <c r="C158" s="4"/>
      <c r="D158" s="4"/>
      <c r="E158" s="4"/>
      <c r="F158" s="5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U158" s="8" t="str">
        <f t="shared" si="1"/>
        <v/>
      </c>
      <c r="W158" s="8" t="str">
        <f t="shared" si="3"/>
        <v/>
      </c>
    </row>
    <row r="159">
      <c r="A159" s="4"/>
      <c r="B159" s="4"/>
      <c r="C159" s="4"/>
      <c r="D159" s="4"/>
      <c r="E159" s="4"/>
      <c r="F159" s="5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U159" s="8" t="str">
        <f t="shared" si="1"/>
        <v/>
      </c>
      <c r="W159" s="8" t="str">
        <f t="shared" si="3"/>
        <v/>
      </c>
    </row>
    <row r="160">
      <c r="A160" s="4"/>
      <c r="B160" s="4"/>
      <c r="C160" s="4"/>
      <c r="D160" s="4"/>
      <c r="E160" s="4"/>
      <c r="F160" s="5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U160" s="8" t="str">
        <f t="shared" si="1"/>
        <v/>
      </c>
      <c r="W160" s="8" t="str">
        <f t="shared" si="3"/>
        <v/>
      </c>
    </row>
    <row r="161">
      <c r="A161" s="4"/>
      <c r="B161" s="4"/>
      <c r="C161" s="4"/>
      <c r="D161" s="4"/>
      <c r="E161" s="4"/>
      <c r="F161" s="5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U161" s="8" t="str">
        <f t="shared" si="1"/>
        <v/>
      </c>
      <c r="W161" s="8" t="str">
        <f t="shared" si="3"/>
        <v/>
      </c>
    </row>
    <row r="162">
      <c r="A162" s="4"/>
      <c r="B162" s="4"/>
      <c r="C162" s="4"/>
      <c r="D162" s="4"/>
      <c r="E162" s="4"/>
      <c r="F162" s="5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U162" s="8" t="str">
        <f t="shared" si="1"/>
        <v/>
      </c>
      <c r="W162" s="8" t="str">
        <f t="shared" si="3"/>
        <v/>
      </c>
    </row>
    <row r="163">
      <c r="A163" s="4"/>
      <c r="B163" s="4"/>
      <c r="C163" s="4"/>
      <c r="D163" s="4"/>
      <c r="E163" s="4"/>
      <c r="F163" s="5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U163" s="8" t="str">
        <f t="shared" si="1"/>
        <v/>
      </c>
      <c r="W163" s="8" t="str">
        <f t="shared" si="3"/>
        <v/>
      </c>
    </row>
    <row r="164">
      <c r="A164" s="4"/>
      <c r="B164" s="4"/>
      <c r="C164" s="4"/>
      <c r="D164" s="4"/>
      <c r="E164" s="4"/>
      <c r="F164" s="5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U164" s="8" t="str">
        <f t="shared" si="1"/>
        <v/>
      </c>
      <c r="W164" s="8" t="str">
        <f t="shared" si="3"/>
        <v/>
      </c>
    </row>
    <row r="165">
      <c r="A165" s="4"/>
      <c r="B165" s="4"/>
      <c r="C165" s="4"/>
      <c r="D165" s="4"/>
      <c r="E165" s="4"/>
      <c r="F165" s="5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U165" s="8" t="str">
        <f t="shared" si="1"/>
        <v/>
      </c>
      <c r="W165" s="8" t="str">
        <f t="shared" si="3"/>
        <v/>
      </c>
    </row>
    <row r="166">
      <c r="A166" s="4"/>
      <c r="U166" s="8" t="str">
        <f t="shared" si="1"/>
        <v/>
      </c>
      <c r="W166" s="8" t="str">
        <f t="shared" si="3"/>
        <v/>
      </c>
    </row>
    <row r="167">
      <c r="A167" s="4"/>
      <c r="U167" s="8" t="str">
        <f t="shared" si="1"/>
        <v/>
      </c>
      <c r="W167" s="8" t="str">
        <f t="shared" si="3"/>
        <v/>
      </c>
    </row>
    <row r="168">
      <c r="A168" s="4"/>
      <c r="U168" s="8" t="str">
        <f t="shared" si="1"/>
        <v/>
      </c>
      <c r="W168" s="8" t="str">
        <f t="shared" si="3"/>
        <v/>
      </c>
    </row>
    <row r="169">
      <c r="A169" s="4"/>
      <c r="U169" s="8" t="str">
        <f t="shared" si="1"/>
        <v/>
      </c>
      <c r="W169" s="8" t="str">
        <f t="shared" si="3"/>
        <v/>
      </c>
    </row>
    <row r="170">
      <c r="A170" s="4"/>
      <c r="U170" s="8" t="str">
        <f t="shared" si="1"/>
        <v/>
      </c>
      <c r="W170" s="8" t="str">
        <f t="shared" si="3"/>
        <v/>
      </c>
    </row>
    <row r="171">
      <c r="A171" s="4"/>
      <c r="U171" s="8" t="str">
        <f t="shared" si="1"/>
        <v/>
      </c>
      <c r="W171" s="8" t="str">
        <f t="shared" si="3"/>
        <v/>
      </c>
    </row>
    <row r="172">
      <c r="A172" s="4"/>
      <c r="U172" s="8" t="str">
        <f t="shared" si="1"/>
        <v/>
      </c>
      <c r="W172" s="8" t="str">
        <f t="shared" si="3"/>
        <v/>
      </c>
    </row>
    <row r="173">
      <c r="A173" s="4"/>
      <c r="U173" s="8" t="str">
        <f t="shared" si="1"/>
        <v/>
      </c>
      <c r="W173" s="8" t="str">
        <f t="shared" si="3"/>
        <v/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B1" s="14">
        <v>2018.0</v>
      </c>
      <c r="C1" s="14">
        <v>2019.0</v>
      </c>
      <c r="D1" s="14">
        <v>2020.0</v>
      </c>
      <c r="E1" s="14">
        <v>2021.0</v>
      </c>
      <c r="F1" s="14">
        <v>2022.0</v>
      </c>
      <c r="G1" s="14">
        <v>2023.0</v>
      </c>
      <c r="H1" s="14">
        <v>2024.0</v>
      </c>
      <c r="I1" s="14">
        <v>2025.0</v>
      </c>
    </row>
    <row r="2">
      <c r="A2" s="3" t="s">
        <v>576</v>
      </c>
    </row>
    <row r="3">
      <c r="A3" s="3" t="s">
        <v>8</v>
      </c>
      <c r="B3" s="8">
        <f>countif('2018'!$D:$D,$A3)</f>
        <v>132</v>
      </c>
      <c r="C3" s="8">
        <f>countif('2019'!$D:$D,$A3)</f>
        <v>113</v>
      </c>
      <c r="D3" s="8">
        <f>countif('2020'!$D:$D,$A3)</f>
        <v>120</v>
      </c>
      <c r="E3" s="8">
        <f>countif('2021'!$D:$D,$A3)</f>
        <v>127</v>
      </c>
      <c r="F3" s="8">
        <f>countif('2022'!$D:$D,$A3)</f>
        <v>139</v>
      </c>
      <c r="G3" s="8">
        <f>countif('2023'!$D:$D,$A3)</f>
        <v>138</v>
      </c>
      <c r="H3" s="8">
        <f>countif('2024'!$D:$D,$A3)</f>
        <v>135</v>
      </c>
      <c r="I3" s="8">
        <f>countif('2025'!$D:$D,$A3)</f>
        <v>119</v>
      </c>
    </row>
    <row r="4">
      <c r="A4" s="3" t="s">
        <v>10</v>
      </c>
      <c r="B4" s="8">
        <f>countif('2018'!$D:$D,$A4)</f>
        <v>22</v>
      </c>
      <c r="C4" s="8">
        <f>countif('2019'!$D:$D,$A4)</f>
        <v>21</v>
      </c>
      <c r="D4" s="8">
        <f>countif('2020'!$D:$D,$A4)</f>
        <v>35</v>
      </c>
      <c r="E4" s="8">
        <f>countif('2021'!$D:$D,$A4)</f>
        <v>24</v>
      </c>
      <c r="F4" s="8">
        <f>countif('2022'!$D:$D,$A4)</f>
        <v>33</v>
      </c>
      <c r="G4" s="8">
        <f>countif('2023'!$D:$D,$A4)</f>
        <v>26</v>
      </c>
      <c r="H4" s="8">
        <f>countif('2024'!$D:$D,$A4)</f>
        <v>21</v>
      </c>
      <c r="I4" s="8">
        <f>countif('2025'!$D:$D,$A4)</f>
        <v>20</v>
      </c>
    </row>
    <row r="5">
      <c r="A5" s="15" t="s">
        <v>577</v>
      </c>
      <c r="B5" s="16">
        <f>counta('2018'!$D:$D)-1</f>
        <v>154</v>
      </c>
      <c r="C5" s="16">
        <f>counta('2019'!$D:$D)-1</f>
        <v>134</v>
      </c>
      <c r="D5" s="16">
        <f>counta('2020'!$D:$D)-1</f>
        <v>155</v>
      </c>
      <c r="E5" s="16">
        <f>counta('2021'!$D:$D)-1</f>
        <v>151</v>
      </c>
      <c r="F5" s="16">
        <f>counta('2022'!$D:$D)-1</f>
        <v>172</v>
      </c>
      <c r="G5" s="16">
        <f>counta('2023'!$D:$D)-1</f>
        <v>164</v>
      </c>
      <c r="H5" s="16">
        <f>counta('2024'!$D:$D)-1</f>
        <v>156</v>
      </c>
      <c r="I5" s="16">
        <f>counta('2025'!$D:$D)-1</f>
        <v>139</v>
      </c>
    </row>
    <row r="6">
      <c r="A6" s="17" t="s">
        <v>578</v>
      </c>
      <c r="B6" s="18">
        <f t="shared" ref="B6:I6" si="1">sum(B3:B4)-B5</f>
        <v>0</v>
      </c>
      <c r="C6" s="18">
        <f t="shared" si="1"/>
        <v>0</v>
      </c>
      <c r="D6" s="18">
        <f t="shared" si="1"/>
        <v>0</v>
      </c>
      <c r="E6" s="18">
        <f t="shared" si="1"/>
        <v>0</v>
      </c>
      <c r="F6" s="18">
        <f t="shared" si="1"/>
        <v>0</v>
      </c>
      <c r="G6" s="18">
        <f t="shared" si="1"/>
        <v>0</v>
      </c>
      <c r="H6" s="18">
        <f t="shared" si="1"/>
        <v>0</v>
      </c>
      <c r="I6" s="18">
        <f t="shared" si="1"/>
        <v>0</v>
      </c>
    </row>
    <row r="8">
      <c r="A8" s="3" t="s">
        <v>579</v>
      </c>
    </row>
    <row r="9">
      <c r="A9" s="19" t="s">
        <v>8</v>
      </c>
      <c r="B9" s="20">
        <f>averageif('2018'!$D:$D,$A9,'2018'!$F:$F)</f>
        <v>2.374242424</v>
      </c>
      <c r="C9" s="20">
        <f>averageif('2019'!$D:$D,$A9,'2019'!$F:$F)</f>
        <v>2.307079646</v>
      </c>
      <c r="D9" s="20">
        <f>averageif('2020'!$D:$D,$A9,'2020'!$F:$F)</f>
        <v>2.123333333</v>
      </c>
      <c r="E9" s="20">
        <f>averageif('2021'!$D:$D,$A9,'2021'!$F:$F)</f>
        <v>2.234645669</v>
      </c>
      <c r="F9" s="20">
        <f>averageif('2022'!$D:$D,$A9,'2022'!$F:$F)</f>
        <v>1.956834532</v>
      </c>
      <c r="G9" s="20">
        <f>averageif('2023'!$D:$D,$A9,'2023'!$F:$F)</f>
        <v>1.895652174</v>
      </c>
      <c r="H9" s="20">
        <f>averageif('2024'!$D:$D,$A9,'2024'!$F:$F)</f>
        <v>1.85037037</v>
      </c>
      <c r="I9" s="20">
        <f>averageif('2025'!$D:$D,$A9,'2025'!$F:$F)</f>
        <v>2.06302521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</row>
    <row r="10">
      <c r="A10" s="19" t="s">
        <v>10</v>
      </c>
      <c r="B10" s="20">
        <f>averageif('2018'!$D:$D,$A10,'2018'!$F:$F)</f>
        <v>3.577272727</v>
      </c>
      <c r="C10" s="20">
        <f>averageif('2019'!$D:$D,$A10,'2019'!$F:$F)</f>
        <v>3.385714286</v>
      </c>
      <c r="D10" s="20">
        <f>averageif('2020'!$D:$D,$A10,'2020'!$F:$F)</f>
        <v>3.008571429</v>
      </c>
      <c r="E10" s="20">
        <f>averageif('2021'!$D:$D,$A10,'2021'!$F:$F)</f>
        <v>2.5125</v>
      </c>
      <c r="F10" s="20">
        <f>averageif('2022'!$D:$D,$A10,'2022'!$F:$F)</f>
        <v>3.118181818</v>
      </c>
      <c r="G10" s="20">
        <f>averageif('2023'!$D:$D,$A10,'2023'!$F:$F)</f>
        <v>4.034615385</v>
      </c>
      <c r="H10" s="20">
        <f>averageif('2024'!$D:$D,$A10,'2024'!$F:$F)</f>
        <v>3.704761905</v>
      </c>
      <c r="I10" s="20">
        <f>averageif('2025'!$D:$D,$A10,'2025'!$F:$F)</f>
        <v>3.145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</row>
    <row r="11">
      <c r="A11" s="21" t="s">
        <v>577</v>
      </c>
      <c r="B11" s="22">
        <f>average('2018'!$F:$F)</f>
        <v>2.546103896</v>
      </c>
      <c r="C11" s="22">
        <f>average('2019'!$F:$F)</f>
        <v>2.476119403</v>
      </c>
      <c r="D11" s="22">
        <f>average('2020'!$F:$F)</f>
        <v>2.323225806</v>
      </c>
      <c r="E11" s="22">
        <f>average('2021'!$F:$F)</f>
        <v>2.278807947</v>
      </c>
      <c r="F11" s="22">
        <f>average('2022'!$F:$F)</f>
        <v>2.179651163</v>
      </c>
      <c r="G11" s="22">
        <f>average('2023'!$F:$F)</f>
        <v>2.234756098</v>
      </c>
      <c r="H11" s="22">
        <f>average('2024'!$F:$F)</f>
        <v>2.1</v>
      </c>
      <c r="I11" s="22">
        <f>average('2025'!$F:$F)</f>
        <v>2.218705036</v>
      </c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</row>
    <row r="12">
      <c r="A12" s="19"/>
      <c r="B12" s="23"/>
      <c r="C12" s="23"/>
      <c r="D12" s="23"/>
      <c r="E12" s="23"/>
      <c r="F12" s="23"/>
      <c r="G12" s="23"/>
      <c r="H12" s="23"/>
      <c r="I12" s="23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</row>
    <row r="13">
      <c r="A13" s="3" t="s">
        <v>580</v>
      </c>
    </row>
    <row r="14">
      <c r="A14" s="19" t="s">
        <v>8</v>
      </c>
      <c r="B14" s="24">
        <f>COUNTIFs('2018'!$D:$D,$A14,'2018'!$F:$F,".5")</f>
        <v>22</v>
      </c>
      <c r="C14" s="24">
        <f>COUNTIFs('2019'!$D:$D,$A14,'2019'!$F:$F,".5")</f>
        <v>15</v>
      </c>
      <c r="D14" s="24">
        <f>COUNTIFs('2020'!$D:$D,$A14,'2020'!$F:$F,".5")</f>
        <v>20</v>
      </c>
      <c r="E14" s="24">
        <f>COUNTIFs('2021'!$D:$D,$A14,'2021'!$F:$F,".5")</f>
        <v>18</v>
      </c>
      <c r="F14" s="24">
        <f>COUNTIFs('2022'!$D:$D,$A14,'2022'!$F:$F,".5")</f>
        <v>39</v>
      </c>
      <c r="G14" s="24">
        <f>COUNTIFs('2023'!$D:$D,$A14,'2023'!$F:$F,".5")</f>
        <v>19</v>
      </c>
      <c r="H14" s="24">
        <f>COUNTIFs('2024'!$D:$D,$A14,'2024'!$F:$F,".5")</f>
        <v>23</v>
      </c>
      <c r="I14" s="24">
        <f>COUNTIFs('2025'!$D:$D,$A14,'2025'!$F:$F,".5")</f>
        <v>16</v>
      </c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</row>
    <row r="15">
      <c r="A15" s="19" t="s">
        <v>10</v>
      </c>
      <c r="B15" s="24">
        <f>COUNTIFs('2018'!$D:$D,$A15,'2018'!$F:$F,".5")</f>
        <v>0</v>
      </c>
      <c r="C15" s="24">
        <f>COUNTIFs('2019'!$D:$D,$A15,'2019'!$F:$F,".5")</f>
        <v>0</v>
      </c>
      <c r="D15" s="24">
        <f>COUNTIFs('2020'!$D:$D,$A15,'2020'!$F:$F,".5")</f>
        <v>1</v>
      </c>
      <c r="E15" s="24">
        <f>COUNTIFs('2021'!$D:$D,$A15,'2021'!$F:$F,".5")</f>
        <v>1</v>
      </c>
      <c r="F15" s="24">
        <f>COUNTIFs('2022'!$D:$D,$A15,'2022'!$F:$F,".5")</f>
        <v>3</v>
      </c>
      <c r="G15" s="24">
        <f>COUNTIFs('2023'!$D:$D,$A15,'2023'!$F:$F,".5")</f>
        <v>0</v>
      </c>
      <c r="H15" s="24">
        <f>COUNTIFs('2024'!$D:$D,$A15,'2024'!$F:$F,".5")</f>
        <v>1</v>
      </c>
      <c r="I15" s="24">
        <f>COUNTIFs('2025'!$D:$D,$A15,'2025'!$F:$F,".5")</f>
        <v>0</v>
      </c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</row>
    <row r="16">
      <c r="A16" s="21" t="s">
        <v>577</v>
      </c>
      <c r="B16" s="25">
        <f>COUNTIFs('2018'!$F:$F,".5")</f>
        <v>22</v>
      </c>
      <c r="C16" s="25">
        <f>COUNTIFs('2019'!$F:$F,".5")</f>
        <v>15</v>
      </c>
      <c r="D16" s="25">
        <f>COUNTIFs('2020'!$F:$F,".5")</f>
        <v>21</v>
      </c>
      <c r="E16" s="25">
        <f>COUNTIFs('2021'!$F:$F,".5")</f>
        <v>19</v>
      </c>
      <c r="F16" s="25">
        <f>COUNTIFs('2022'!$F:$F,".5")</f>
        <v>42</v>
      </c>
      <c r="G16" s="25">
        <f>COUNTIFs('2023'!$F:$F,".5")</f>
        <v>19</v>
      </c>
      <c r="H16" s="25">
        <f>COUNTIFs('2024'!$F:$F,".5")</f>
        <v>24</v>
      </c>
      <c r="I16" s="25">
        <f>COUNTIFs('2025'!$F:$F,".5")</f>
        <v>16</v>
      </c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</row>
    <row r="17">
      <c r="A17" s="19"/>
      <c r="B17" s="23"/>
      <c r="C17" s="23"/>
      <c r="D17" s="23"/>
      <c r="E17" s="23"/>
      <c r="F17" s="23"/>
      <c r="G17" s="23"/>
      <c r="H17" s="23"/>
      <c r="I17" s="23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</row>
    <row r="18">
      <c r="A18" s="3" t="s">
        <v>581</v>
      </c>
    </row>
    <row r="19">
      <c r="A19" s="19" t="s">
        <v>8</v>
      </c>
      <c r="B19" s="26">
        <f t="shared" ref="B19:I19" si="2">B14/B3</f>
        <v>0.1666666667</v>
      </c>
      <c r="C19" s="26">
        <f t="shared" si="2"/>
        <v>0.1327433628</v>
      </c>
      <c r="D19" s="26">
        <f t="shared" si="2"/>
        <v>0.1666666667</v>
      </c>
      <c r="E19" s="26">
        <f t="shared" si="2"/>
        <v>0.1417322835</v>
      </c>
      <c r="F19" s="26">
        <f t="shared" si="2"/>
        <v>0.2805755396</v>
      </c>
      <c r="G19" s="26">
        <f t="shared" si="2"/>
        <v>0.1376811594</v>
      </c>
      <c r="H19" s="26">
        <f t="shared" si="2"/>
        <v>0.1703703704</v>
      </c>
      <c r="I19" s="26">
        <f t="shared" si="2"/>
        <v>0.1344537815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</row>
    <row r="20">
      <c r="A20" s="19" t="s">
        <v>10</v>
      </c>
      <c r="B20" s="26">
        <f t="shared" ref="B20:I20" si="3">B15/B4</f>
        <v>0</v>
      </c>
      <c r="C20" s="26">
        <f t="shared" si="3"/>
        <v>0</v>
      </c>
      <c r="D20" s="26">
        <f t="shared" si="3"/>
        <v>0.02857142857</v>
      </c>
      <c r="E20" s="26">
        <f t="shared" si="3"/>
        <v>0.04166666667</v>
      </c>
      <c r="F20" s="26">
        <f t="shared" si="3"/>
        <v>0.09090909091</v>
      </c>
      <c r="G20" s="26">
        <f t="shared" si="3"/>
        <v>0</v>
      </c>
      <c r="H20" s="26">
        <f t="shared" si="3"/>
        <v>0.04761904762</v>
      </c>
      <c r="I20" s="26">
        <f t="shared" si="3"/>
        <v>0</v>
      </c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</row>
    <row r="21">
      <c r="A21" s="21" t="s">
        <v>577</v>
      </c>
      <c r="B21" s="27">
        <f t="shared" ref="B21:I21" si="4">B16/B5</f>
        <v>0.1428571429</v>
      </c>
      <c r="C21" s="27">
        <f t="shared" si="4"/>
        <v>0.1119402985</v>
      </c>
      <c r="D21" s="27">
        <f t="shared" si="4"/>
        <v>0.135483871</v>
      </c>
      <c r="E21" s="27">
        <f t="shared" si="4"/>
        <v>0.1258278146</v>
      </c>
      <c r="F21" s="27">
        <f t="shared" si="4"/>
        <v>0.2441860465</v>
      </c>
      <c r="G21" s="27">
        <f t="shared" si="4"/>
        <v>0.1158536585</v>
      </c>
      <c r="H21" s="27">
        <f t="shared" si="4"/>
        <v>0.1538461538</v>
      </c>
      <c r="I21" s="27">
        <f t="shared" si="4"/>
        <v>0.1151079137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</row>
    <row r="22">
      <c r="A22" s="3"/>
    </row>
    <row r="23">
      <c r="A23" s="3" t="s">
        <v>582</v>
      </c>
    </row>
    <row r="24">
      <c r="A24" s="28" t="s">
        <v>583</v>
      </c>
      <c r="B24" s="20">
        <f>averageif('2018'!$V:$V,"&lt;11",'2018'!$U:$U)</f>
        <v>8.37</v>
      </c>
      <c r="C24" s="20">
        <f>averageif('2019'!$V:$V,"&lt;11",'2019'!$U:$U)</f>
        <v>7.68</v>
      </c>
      <c r="D24" s="20">
        <f>averageif('2020'!$V:$V,"&lt;11",'2020'!$U:$U)</f>
        <v>7.11</v>
      </c>
      <c r="E24" s="20">
        <f>averageif('2021'!$V:$V,"&lt;11",'2021'!$U:$U)</f>
        <v>7.07</v>
      </c>
      <c r="F24" s="20">
        <f>averageif('2022'!$V:$V,"&lt;11",'2022'!$U:$U)</f>
        <v>6.409090909</v>
      </c>
      <c r="G24" s="20">
        <f>averageif('2023'!$V:$V,"&lt;11",'2023'!$U:$U)</f>
        <v>6.49</v>
      </c>
      <c r="H24" s="20">
        <f>averageif('2024'!$V:$V,"&lt;11",'2024'!$U:$U)</f>
        <v>6.3</v>
      </c>
      <c r="I24" s="20">
        <f>averageif('2025'!$V:$V,"&lt;11",'2025'!$U:$U)</f>
        <v>6.96</v>
      </c>
    </row>
    <row r="25">
      <c r="A25" s="28" t="s">
        <v>584</v>
      </c>
      <c r="B25" s="20">
        <f>averageif('2018'!$X:$X,"&lt;11",'2018'!$W:$W)</f>
        <v>6.44</v>
      </c>
      <c r="C25" s="20">
        <f>averageif('2019'!$X:$X,"&lt;11",'2019'!$W:$W)</f>
        <v>5.52</v>
      </c>
      <c r="D25" s="20">
        <f>averageif('2020'!$X:$X,"&lt;11",'2020'!$W:$W)</f>
        <v>5.73</v>
      </c>
      <c r="E25" s="20">
        <f>averageif('2021'!$X:$X,"&lt;11",'2021'!$W:$W)</f>
        <v>3.883333333</v>
      </c>
      <c r="F25" s="20">
        <f>averageif('2022'!$X:$X,"&lt;11",'2022'!$W:$W)</f>
        <v>5.84</v>
      </c>
      <c r="G25" s="20">
        <f>averageif('2023'!$X:$X,"&lt;11",'2023'!$W:$W)</f>
        <v>6.46</v>
      </c>
      <c r="H25" s="20">
        <f>averageif('2024'!$X:$X,"&lt;11",'2024'!$W:$W)</f>
        <v>6.09</v>
      </c>
      <c r="I25" s="20">
        <f>averageif('2025'!$X:$X,"&lt;11",'2025'!$W:$W)</f>
        <v>4.64</v>
      </c>
    </row>
    <row r="26">
      <c r="A26" s="28" t="s">
        <v>585</v>
      </c>
      <c r="B26" s="20">
        <f>averageif('2018'!$V:$V,"&lt;6",'2018'!$U:$U)</f>
        <v>9.24</v>
      </c>
      <c r="C26" s="20">
        <f>averageif('2019'!$V:$V,"&lt;6",'2019'!$U:$U)</f>
        <v>8.3</v>
      </c>
      <c r="D26" s="20">
        <f>averageif('2020'!$V:$V,"&lt;6",'2020'!$U:$U)</f>
        <v>7.88</v>
      </c>
      <c r="E26" s="20">
        <f>averageif('2021'!$V:$V,"&lt;6",'2021'!$U:$U)</f>
        <v>7.92</v>
      </c>
      <c r="F26" s="20">
        <f>averageif('2022'!$V:$V,"&lt;6",'2022'!$U:$U)</f>
        <v>6.916666667</v>
      </c>
      <c r="G26" s="20">
        <f>averageif('2023'!$V:$V,"&lt;6",'2023'!$U:$U)</f>
        <v>7.18</v>
      </c>
      <c r="H26" s="20">
        <f>averageif('2024'!$V:$V,"&lt;6",'2024'!$U:$U)</f>
        <v>6.883333333</v>
      </c>
      <c r="I26" s="20">
        <f>averageif('2025'!$V:$V,"&lt;6",'2025'!$U:$U)</f>
        <v>7.98</v>
      </c>
    </row>
    <row r="27">
      <c r="A27" s="28" t="s">
        <v>586</v>
      </c>
      <c r="B27" s="20">
        <f>averageif('2018'!$X:$X,"&lt;6",'2018'!$W:$W)</f>
        <v>8.66</v>
      </c>
      <c r="C27" s="20">
        <f>averageif('2019'!$X:$X,"&lt;6",'2019'!$W:$W)</f>
        <v>6.9</v>
      </c>
      <c r="D27" s="20">
        <f>averageif('2020'!$X:$X,"&lt;6",'2020'!$W:$W)</f>
        <v>6.56</v>
      </c>
      <c r="E27" s="20">
        <f>averageif('2021'!$X:$X,"&lt;6",'2021'!$W:$W)</f>
        <v>5.1</v>
      </c>
      <c r="F27" s="20">
        <f>averageif('2022'!$X:$X,"&lt;6",'2022'!$W:$W)</f>
        <v>7.06</v>
      </c>
      <c r="G27" s="20">
        <f>averageif('2023'!$X:$X,"&lt;6",'2023'!$W:$W)</f>
        <v>7.88</v>
      </c>
      <c r="H27" s="20">
        <f>averageif('2024'!$X:$X,"&lt;6",'2024'!$W:$W)</f>
        <v>6.571428571</v>
      </c>
      <c r="I27" s="20">
        <f>averageif('2025'!$X:$X,"&lt;6",'2025'!$W:$W)</f>
        <v>6.02</v>
      </c>
    </row>
    <row r="28">
      <c r="A28" s="3"/>
    </row>
    <row r="29">
      <c r="A29" s="3" t="s">
        <v>587</v>
      </c>
    </row>
    <row r="30">
      <c r="A30" s="3" t="s">
        <v>588</v>
      </c>
      <c r="B30" s="8">
        <f>countif('2018'!$U:$U,"&lt;1")</f>
        <v>56</v>
      </c>
      <c r="C30" s="8">
        <f>countif('2019'!$U:$U,"&lt;1")</f>
        <v>41</v>
      </c>
      <c r="D30" s="8">
        <f>countif('2020'!$U:$U,"&lt;1")</f>
        <v>52</v>
      </c>
      <c r="E30" s="8">
        <f>countif('2021'!$U:$U,"&lt;1")</f>
        <v>43</v>
      </c>
      <c r="F30" s="8">
        <f>countif('2022'!$U:$U,"&lt;1")</f>
        <v>64</v>
      </c>
      <c r="G30" s="8">
        <f>countif('2023'!$U:$U,"&lt;1")</f>
        <v>54</v>
      </c>
      <c r="H30" s="8">
        <f>countif('2024'!$U:$U,"&lt;1")</f>
        <v>61</v>
      </c>
      <c r="I30" s="8">
        <f>countif('2025'!$U:$U,"&lt;1")</f>
        <v>40</v>
      </c>
      <c r="K30" s="29">
        <f t="shared" ref="K30:R30" si="5">B30/B$41</f>
        <v>0.4242424242</v>
      </c>
      <c r="L30" s="29">
        <f t="shared" si="5"/>
        <v>0.3628318584</v>
      </c>
      <c r="M30" s="29">
        <f t="shared" si="5"/>
        <v>0.4333333333</v>
      </c>
      <c r="N30" s="29">
        <f t="shared" si="5"/>
        <v>0.3385826772</v>
      </c>
      <c r="O30" s="29">
        <f t="shared" si="5"/>
        <v>0.4604316547</v>
      </c>
      <c r="P30" s="29">
        <f t="shared" si="5"/>
        <v>0.3913043478</v>
      </c>
      <c r="Q30" s="29">
        <f t="shared" si="5"/>
        <v>0.4518518519</v>
      </c>
      <c r="R30" s="29">
        <f t="shared" si="5"/>
        <v>0.3361344538</v>
      </c>
      <c r="S30" s="29"/>
    </row>
    <row r="31">
      <c r="A31" s="3" t="s">
        <v>589</v>
      </c>
      <c r="B31" s="8">
        <f>countif('2018'!$U:$U,"&lt;2")-sum(B30)</f>
        <v>28</v>
      </c>
      <c r="C31" s="8">
        <f>countif('2019'!$U:$U,"&lt;2")-sum(C30)</f>
        <v>30</v>
      </c>
      <c r="D31" s="8">
        <f>countif('2020'!$U:$U,"&lt;2")-sum(D30)</f>
        <v>25</v>
      </c>
      <c r="E31" s="8">
        <f>countif('2021'!$U:$U,"&lt;2")-sum(E30)</f>
        <v>31</v>
      </c>
      <c r="F31" s="8">
        <f>countif('2022'!$U:$U,"&lt;2")-sum(F30)</f>
        <v>28</v>
      </c>
      <c r="G31" s="8">
        <f>countif('2023'!$U:$U,"&lt;2")-sum(G30)</f>
        <v>38</v>
      </c>
      <c r="H31" s="8">
        <f>countif('2024'!$U:$U,"&lt;2")-sum(H30)</f>
        <v>27</v>
      </c>
      <c r="I31" s="8">
        <f>countif('2025'!$U:$U,"&lt;2")-sum(I30)</f>
        <v>36</v>
      </c>
      <c r="K31" s="29">
        <f t="shared" ref="K31:R31" si="6">B31/B$41</f>
        <v>0.2121212121</v>
      </c>
      <c r="L31" s="29">
        <f t="shared" si="6"/>
        <v>0.2654867257</v>
      </c>
      <c r="M31" s="29">
        <f t="shared" si="6"/>
        <v>0.2083333333</v>
      </c>
      <c r="N31" s="29">
        <f t="shared" si="6"/>
        <v>0.2440944882</v>
      </c>
      <c r="O31" s="29">
        <f t="shared" si="6"/>
        <v>0.2014388489</v>
      </c>
      <c r="P31" s="29">
        <f t="shared" si="6"/>
        <v>0.2753623188</v>
      </c>
      <c r="Q31" s="29">
        <f t="shared" si="6"/>
        <v>0.2</v>
      </c>
      <c r="R31" s="29">
        <f t="shared" si="6"/>
        <v>0.3025210084</v>
      </c>
      <c r="S31" s="29"/>
    </row>
    <row r="32">
      <c r="A32" s="3" t="s">
        <v>590</v>
      </c>
      <c r="B32" s="8">
        <f>countif('2018'!$U:$U,"&lt;3")-sum(B30:B31)</f>
        <v>9</v>
      </c>
      <c r="C32" s="8">
        <f>countif('2019'!$U:$U,"&lt;3")-sum(C30:C31)</f>
        <v>12</v>
      </c>
      <c r="D32" s="8">
        <f>countif('2020'!$U:$U,"&lt;3")-sum(D30:D31)</f>
        <v>10</v>
      </c>
      <c r="E32" s="8">
        <f>countif('2021'!$U:$U,"&lt;3")-sum(E30:E31)</f>
        <v>17</v>
      </c>
      <c r="F32" s="8">
        <f>countif('2022'!$U:$U,"&lt;3")-sum(F30:F31)</f>
        <v>16</v>
      </c>
      <c r="G32" s="8">
        <f>countif('2023'!$U:$U,"&lt;3")-sum(G30:G31)</f>
        <v>19</v>
      </c>
      <c r="H32" s="8">
        <f>countif('2024'!$U:$U,"&lt;3")-sum(H30:H31)</f>
        <v>18</v>
      </c>
      <c r="I32" s="8">
        <f>countif('2025'!$U:$U,"&lt;3")-sum(I30:I31)</f>
        <v>16</v>
      </c>
      <c r="K32" s="29">
        <f t="shared" ref="K32:R32" si="7">B32/B$41</f>
        <v>0.06818181818</v>
      </c>
      <c r="L32" s="29">
        <f t="shared" si="7"/>
        <v>0.1061946903</v>
      </c>
      <c r="M32" s="29">
        <f t="shared" si="7"/>
        <v>0.08333333333</v>
      </c>
      <c r="N32" s="29">
        <f t="shared" si="7"/>
        <v>0.1338582677</v>
      </c>
      <c r="O32" s="29">
        <f t="shared" si="7"/>
        <v>0.1151079137</v>
      </c>
      <c r="P32" s="29">
        <f t="shared" si="7"/>
        <v>0.1376811594</v>
      </c>
      <c r="Q32" s="29">
        <f t="shared" si="7"/>
        <v>0.1333333333</v>
      </c>
      <c r="R32" s="29">
        <f t="shared" si="7"/>
        <v>0.1344537815</v>
      </c>
      <c r="S32" s="29"/>
    </row>
    <row r="33">
      <c r="A33" s="3" t="s">
        <v>591</v>
      </c>
      <c r="B33" s="8">
        <f>countif('2018'!$U:$U,"&lt;4")-sum(B30:B32)</f>
        <v>9</v>
      </c>
      <c r="C33" s="8">
        <f>countif('2019'!$U:$U,"&lt;4")-sum(C30:C32)</f>
        <v>9</v>
      </c>
      <c r="D33" s="8">
        <f>countif('2020'!$U:$U,"&lt;4")-sum(D30:D32)</f>
        <v>8</v>
      </c>
      <c r="E33" s="8">
        <f>countif('2021'!$U:$U,"&lt;4")-sum(E30:E32)</f>
        <v>12</v>
      </c>
      <c r="F33" s="8">
        <f>countif('2022'!$U:$U,"&lt;4")-sum(F30:F32)</f>
        <v>8</v>
      </c>
      <c r="G33" s="8">
        <f>countif('2023'!$U:$U,"&lt;4")-sum(G30:G32)</f>
        <v>9</v>
      </c>
      <c r="H33" s="8">
        <f>countif('2024'!$U:$U,"&lt;4")-sum(H30:H32)</f>
        <v>14</v>
      </c>
      <c r="I33" s="8">
        <f>countif('2025'!$U:$U,"&lt;4")-sum(I30:I32)</f>
        <v>10</v>
      </c>
      <c r="K33" s="29">
        <f t="shared" ref="K33:R33" si="8">B33/B$41</f>
        <v>0.06818181818</v>
      </c>
      <c r="L33" s="29">
        <f t="shared" si="8"/>
        <v>0.0796460177</v>
      </c>
      <c r="M33" s="29">
        <f t="shared" si="8"/>
        <v>0.06666666667</v>
      </c>
      <c r="N33" s="29">
        <f t="shared" si="8"/>
        <v>0.09448818898</v>
      </c>
      <c r="O33" s="29">
        <f t="shared" si="8"/>
        <v>0.05755395683</v>
      </c>
      <c r="P33" s="29">
        <f t="shared" si="8"/>
        <v>0.0652173913</v>
      </c>
      <c r="Q33" s="29">
        <f t="shared" si="8"/>
        <v>0.1037037037</v>
      </c>
      <c r="R33" s="29">
        <f t="shared" si="8"/>
        <v>0.08403361345</v>
      </c>
      <c r="S33" s="29"/>
    </row>
    <row r="34">
      <c r="A34" s="3" t="s">
        <v>592</v>
      </c>
      <c r="B34" s="8">
        <f>countif('2018'!$U:$U,"&lt;5")-sum(B30:B33)</f>
        <v>6</v>
      </c>
      <c r="C34" s="8">
        <f>countif('2019'!$U:$U,"&lt;5")-sum(C30:C33)</f>
        <v>5</v>
      </c>
      <c r="D34" s="8">
        <f>countif('2020'!$U:$U,"&lt;5")-sum(D30:D33)</f>
        <v>12</v>
      </c>
      <c r="E34" s="8">
        <f>countif('2021'!$U:$U,"&lt;5")-sum(E30:E33)</f>
        <v>10</v>
      </c>
      <c r="F34" s="8">
        <f>countif('2022'!$U:$U,"&lt;5")-sum(F30:F33)</f>
        <v>6</v>
      </c>
      <c r="G34" s="8">
        <f>countif('2023'!$U:$U,"&lt;5")-sum(G30:G33)</f>
        <v>9</v>
      </c>
      <c r="H34" s="8">
        <f>countif('2024'!$U:$U,"&lt;5")-sum(H30:H33)</f>
        <v>4</v>
      </c>
      <c r="I34" s="8">
        <f>countif('2025'!$U:$U,"&lt;5")-sum(I30:I33)</f>
        <v>6</v>
      </c>
      <c r="K34" s="29">
        <f t="shared" ref="K34:R34" si="9">B34/B$41</f>
        <v>0.04545454545</v>
      </c>
      <c r="L34" s="29">
        <f t="shared" si="9"/>
        <v>0.04424778761</v>
      </c>
      <c r="M34" s="29">
        <f t="shared" si="9"/>
        <v>0.1</v>
      </c>
      <c r="N34" s="29">
        <f t="shared" si="9"/>
        <v>0.07874015748</v>
      </c>
      <c r="O34" s="29">
        <f t="shared" si="9"/>
        <v>0.04316546763</v>
      </c>
      <c r="P34" s="29">
        <f t="shared" si="9"/>
        <v>0.0652173913</v>
      </c>
      <c r="Q34" s="29">
        <f t="shared" si="9"/>
        <v>0.02962962963</v>
      </c>
      <c r="R34" s="29">
        <f t="shared" si="9"/>
        <v>0.05042016807</v>
      </c>
      <c r="S34" s="29"/>
    </row>
    <row r="35">
      <c r="A35" s="3" t="s">
        <v>593</v>
      </c>
      <c r="B35" s="8">
        <f>countif('2018'!$U:$U,"&lt;6")-sum(B30:B34)</f>
        <v>10</v>
      </c>
      <c r="C35" s="8">
        <f>countif('2019'!$U:$U,"&lt;6")-sum(C30:C34)</f>
        <v>2</v>
      </c>
      <c r="D35" s="8">
        <f>countif('2020'!$U:$U,"&lt;6")-sum(D30:D34)</f>
        <v>4</v>
      </c>
      <c r="E35" s="8">
        <f>countif('2021'!$U:$U,"&lt;6")-sum(E30:E34)</f>
        <v>5</v>
      </c>
      <c r="F35" s="8">
        <f>countif('2022'!$U:$U,"&lt;6")-sum(F30:F34)</f>
        <v>10</v>
      </c>
      <c r="G35" s="8">
        <f>countif('2023'!$U:$U,"&lt;6")-sum(G30:G34)</f>
        <v>1</v>
      </c>
      <c r="H35" s="8">
        <f>countif('2024'!$U:$U,"&lt;6")-sum(H30:H34)</f>
        <v>7</v>
      </c>
      <c r="I35" s="8">
        <f>countif('2025'!$U:$U,"&lt;6")-sum(I30:I34)</f>
        <v>4</v>
      </c>
      <c r="K35" s="29">
        <f t="shared" ref="K35:R35" si="10">B35/B$41</f>
        <v>0.07575757576</v>
      </c>
      <c r="L35" s="29">
        <f t="shared" si="10"/>
        <v>0.01769911504</v>
      </c>
      <c r="M35" s="29">
        <f t="shared" si="10"/>
        <v>0.03333333333</v>
      </c>
      <c r="N35" s="29">
        <f t="shared" si="10"/>
        <v>0.03937007874</v>
      </c>
      <c r="O35" s="29">
        <f t="shared" si="10"/>
        <v>0.07194244604</v>
      </c>
      <c r="P35" s="29">
        <f t="shared" si="10"/>
        <v>0.007246376812</v>
      </c>
      <c r="Q35" s="29">
        <f t="shared" si="10"/>
        <v>0.05185185185</v>
      </c>
      <c r="R35" s="29">
        <f t="shared" si="10"/>
        <v>0.03361344538</v>
      </c>
      <c r="S35" s="29"/>
    </row>
    <row r="36">
      <c r="A36" s="3" t="s">
        <v>594</v>
      </c>
      <c r="B36" s="8">
        <f>countif('2018'!$U:$U,"&lt;7")-sum(B30:B35)</f>
        <v>6</v>
      </c>
      <c r="C36" s="8">
        <f>countif('2019'!$U:$U,"&lt;7")-sum(C30:C35)</f>
        <v>6</v>
      </c>
      <c r="D36" s="8">
        <f>countif('2020'!$U:$U,"&lt;7")-sum(D30:D35)</f>
        <v>5</v>
      </c>
      <c r="E36" s="8">
        <f>countif('2021'!$U:$U,"&lt;7")-sum(E30:E35)</f>
        <v>5</v>
      </c>
      <c r="F36" s="8">
        <f>countif('2022'!$U:$U,"&lt;7")-sum(F30:F35)</f>
        <v>5</v>
      </c>
      <c r="G36" s="8">
        <f>countif('2023'!$U:$U,"&lt;7")-sum(G30:G35)</f>
        <v>5</v>
      </c>
      <c r="H36" s="8">
        <f>countif('2024'!$U:$U,"&lt;7")-sum(H30:H35)</f>
        <v>2</v>
      </c>
      <c r="I36" s="8">
        <f>countif('2025'!$U:$U,"&lt;7")-sum(I30:I35)</f>
        <v>3</v>
      </c>
      <c r="K36" s="29">
        <f t="shared" ref="K36:R36" si="11">B36/B$41</f>
        <v>0.04545454545</v>
      </c>
      <c r="L36" s="29">
        <f t="shared" si="11"/>
        <v>0.05309734513</v>
      </c>
      <c r="M36" s="29">
        <f t="shared" si="11"/>
        <v>0.04166666667</v>
      </c>
      <c r="N36" s="29">
        <f t="shared" si="11"/>
        <v>0.03937007874</v>
      </c>
      <c r="O36" s="29">
        <f t="shared" si="11"/>
        <v>0.03597122302</v>
      </c>
      <c r="P36" s="29">
        <f t="shared" si="11"/>
        <v>0.03623188406</v>
      </c>
      <c r="Q36" s="29">
        <f t="shared" si="11"/>
        <v>0.01481481481</v>
      </c>
      <c r="R36" s="29">
        <f t="shared" si="11"/>
        <v>0.02521008403</v>
      </c>
      <c r="S36" s="29"/>
    </row>
    <row r="37">
      <c r="A37" s="3" t="s">
        <v>595</v>
      </c>
      <c r="B37" s="8">
        <f>countif('2018'!$U:$U,"&lt;8")-sum(B30:B36)</f>
        <v>1</v>
      </c>
      <c r="C37" s="8">
        <f>countif('2019'!$U:$U,"&lt;8")-sum(C30:C36)</f>
        <v>6</v>
      </c>
      <c r="D37" s="8">
        <f>countif('2020'!$U:$U,"&lt;8")-sum(D30:D36)</f>
        <v>2</v>
      </c>
      <c r="E37" s="8">
        <f>countif('2021'!$U:$U,"&lt;8")-sum(E30:E36)</f>
        <v>2</v>
      </c>
      <c r="F37" s="8">
        <f>countif('2022'!$U:$U,"&lt;8")-sum(F30:F36)</f>
        <v>1</v>
      </c>
      <c r="G37" s="8">
        <f>countif('2023'!$U:$U,"&lt;8")-sum(G30:G36)</f>
        <v>2</v>
      </c>
      <c r="H37" s="8">
        <f>countif('2024'!$U:$U,"&lt;8")-sum(H30:H36)</f>
        <v>0</v>
      </c>
      <c r="I37" s="8">
        <f>countif('2025'!$U:$U,"&lt;8")-sum(I30:I36)</f>
        <v>2</v>
      </c>
      <c r="K37" s="29">
        <f t="shared" ref="K37:R37" si="12">B37/B$41</f>
        <v>0.007575757576</v>
      </c>
      <c r="L37" s="29">
        <f t="shared" si="12"/>
        <v>0.05309734513</v>
      </c>
      <c r="M37" s="29">
        <f t="shared" si="12"/>
        <v>0.01666666667</v>
      </c>
      <c r="N37" s="29">
        <f t="shared" si="12"/>
        <v>0.0157480315</v>
      </c>
      <c r="O37" s="29">
        <f t="shared" si="12"/>
        <v>0.007194244604</v>
      </c>
      <c r="P37" s="29">
        <f t="shared" si="12"/>
        <v>0.01449275362</v>
      </c>
      <c r="Q37" s="29">
        <f t="shared" si="12"/>
        <v>0</v>
      </c>
      <c r="R37" s="29">
        <f t="shared" si="12"/>
        <v>0.01680672269</v>
      </c>
      <c r="S37" s="29"/>
    </row>
    <row r="38">
      <c r="A38" s="3" t="s">
        <v>596</v>
      </c>
      <c r="B38" s="8">
        <f>countif('2018'!$U:$U,"&lt;9")-sum(B30:B37)</f>
        <v>4</v>
      </c>
      <c r="C38" s="8">
        <f>countif('2019'!$U:$U,"&lt;9")-sum(C30:C37)</f>
        <v>0</v>
      </c>
      <c r="D38" s="8">
        <f>countif('2020'!$U:$U,"&lt;9")-sum(D30:D37)</f>
        <v>1</v>
      </c>
      <c r="E38" s="8">
        <f>countif('2021'!$U:$U,"&lt;9")-sum(E30:E37)</f>
        <v>2</v>
      </c>
      <c r="F38" s="8">
        <f>countif('2022'!$U:$U,"&lt;9")-sum(F30:F37)</f>
        <v>1</v>
      </c>
      <c r="G38" s="8">
        <f>countif('2023'!$U:$U,"&lt;9")-sum(G30:G37)</f>
        <v>1</v>
      </c>
      <c r="H38" s="8">
        <f>countif('2024'!$U:$U,"&lt;9")-sum(H30:H37)</f>
        <v>2</v>
      </c>
      <c r="I38" s="8">
        <f>countif('2025'!$U:$U,"&lt;9")-sum(I30:I37)</f>
        <v>1</v>
      </c>
      <c r="K38" s="29">
        <f t="shared" ref="K38:R38" si="13">B38/B$41</f>
        <v>0.0303030303</v>
      </c>
      <c r="L38" s="29">
        <f t="shared" si="13"/>
        <v>0</v>
      </c>
      <c r="M38" s="29">
        <f t="shared" si="13"/>
        <v>0.008333333333</v>
      </c>
      <c r="N38" s="29">
        <f t="shared" si="13"/>
        <v>0.0157480315</v>
      </c>
      <c r="O38" s="29">
        <f t="shared" si="13"/>
        <v>0.007194244604</v>
      </c>
      <c r="P38" s="29">
        <f t="shared" si="13"/>
        <v>0.007246376812</v>
      </c>
      <c r="Q38" s="29">
        <f t="shared" si="13"/>
        <v>0.01481481481</v>
      </c>
      <c r="R38" s="29">
        <f t="shared" si="13"/>
        <v>0.008403361345</v>
      </c>
      <c r="S38" s="29"/>
    </row>
    <row r="39">
      <c r="A39" s="3" t="s">
        <v>597</v>
      </c>
      <c r="B39" s="8">
        <f>countif('2018'!$U:$U,"&lt;10")-sum(B30:B38)</f>
        <v>2</v>
      </c>
      <c r="C39" s="8">
        <f>countif('2019'!$U:$U,"&lt;10")-sum(C30:C38)</f>
        <v>2</v>
      </c>
      <c r="D39" s="8">
        <f>countif('2020'!$U:$U,"&lt;10")-sum(D30:D38)</f>
        <v>1</v>
      </c>
      <c r="E39" s="8">
        <f>countif('2021'!$U:$U,"&lt;10")-sum(E30:E38)</f>
        <v>0</v>
      </c>
      <c r="F39" s="8">
        <f>countif('2022'!$U:$U,"&lt;10")-sum(F30:F38)</f>
        <v>0</v>
      </c>
      <c r="G39" s="8">
        <f>countif('2023'!$U:$U,"&lt;10")-sum(G30:G38)</f>
        <v>0</v>
      </c>
      <c r="H39" s="8">
        <f>countif('2024'!$U:$U,"&lt;10")-sum(H30:H38)</f>
        <v>0</v>
      </c>
      <c r="I39" s="8">
        <f>countif('2025'!$U:$U,"&lt;10")-sum(I30:I38)</f>
        <v>0</v>
      </c>
      <c r="K39" s="29">
        <f t="shared" ref="K39:R39" si="14">B39/B$41</f>
        <v>0.01515151515</v>
      </c>
      <c r="L39" s="29">
        <f t="shared" si="14"/>
        <v>0.01769911504</v>
      </c>
      <c r="M39" s="29">
        <f t="shared" si="14"/>
        <v>0.008333333333</v>
      </c>
      <c r="N39" s="29">
        <f t="shared" si="14"/>
        <v>0</v>
      </c>
      <c r="O39" s="29">
        <f t="shared" si="14"/>
        <v>0</v>
      </c>
      <c r="P39" s="29">
        <f t="shared" si="14"/>
        <v>0</v>
      </c>
      <c r="Q39" s="29">
        <f t="shared" si="14"/>
        <v>0</v>
      </c>
      <c r="R39" s="29">
        <f t="shared" si="14"/>
        <v>0</v>
      </c>
      <c r="S39" s="29"/>
    </row>
    <row r="40">
      <c r="A40" s="3" t="s">
        <v>598</v>
      </c>
      <c r="B40" s="8">
        <f>countif('2018'!$U:$U,"&lt;12")-sum(B30:B39)</f>
        <v>1</v>
      </c>
      <c r="C40" s="8">
        <f>countif('2019'!$U:$U,"&lt;12")-sum(C30:C39)</f>
        <v>0</v>
      </c>
      <c r="D40" s="8">
        <f>countif('2020'!$U:$U,"&lt;12")-sum(D30:D39)</f>
        <v>0</v>
      </c>
      <c r="E40" s="8">
        <f>countif('2021'!$U:$U,"&lt;12")-sum(E30:E39)</f>
        <v>0</v>
      </c>
      <c r="F40" s="8">
        <f>countif('2022'!$U:$U,"&lt;12")-sum(F30:F39)</f>
        <v>0</v>
      </c>
      <c r="G40" s="8">
        <f>countif('2023'!$U:$U,"&lt;12")-sum(G30:G39)</f>
        <v>0</v>
      </c>
      <c r="H40" s="8">
        <f>countif('2024'!$U:$U,"&lt;12")-sum(H30:H39)</f>
        <v>0</v>
      </c>
      <c r="I40" s="8">
        <f>countif('2025'!$U:$U,"&lt;12")-sum(I30:I39)</f>
        <v>1</v>
      </c>
      <c r="K40" s="29">
        <f t="shared" ref="K40:R40" si="15">B40/B$41</f>
        <v>0.007575757576</v>
      </c>
      <c r="L40" s="29">
        <f t="shared" si="15"/>
        <v>0</v>
      </c>
      <c r="M40" s="29">
        <f t="shared" si="15"/>
        <v>0</v>
      </c>
      <c r="N40" s="29">
        <f t="shared" si="15"/>
        <v>0</v>
      </c>
      <c r="O40" s="29">
        <f t="shared" si="15"/>
        <v>0</v>
      </c>
      <c r="P40" s="29">
        <f t="shared" si="15"/>
        <v>0</v>
      </c>
      <c r="Q40" s="29">
        <f t="shared" si="15"/>
        <v>0</v>
      </c>
      <c r="R40" s="29">
        <f t="shared" si="15"/>
        <v>0.008403361345</v>
      </c>
      <c r="S40" s="29"/>
    </row>
    <row r="41">
      <c r="A41" s="15" t="s">
        <v>577</v>
      </c>
      <c r="B41" s="16">
        <f t="shared" ref="B41:I41" si="16">sum(B30:B40)</f>
        <v>132</v>
      </c>
      <c r="C41" s="16">
        <f t="shared" si="16"/>
        <v>113</v>
      </c>
      <c r="D41" s="16">
        <f t="shared" si="16"/>
        <v>120</v>
      </c>
      <c r="E41" s="16">
        <f t="shared" si="16"/>
        <v>127</v>
      </c>
      <c r="F41" s="16">
        <f t="shared" si="16"/>
        <v>139</v>
      </c>
      <c r="G41" s="16">
        <f t="shared" si="16"/>
        <v>138</v>
      </c>
      <c r="H41" s="16">
        <f t="shared" si="16"/>
        <v>135</v>
      </c>
      <c r="I41" s="16">
        <f t="shared" si="16"/>
        <v>119</v>
      </c>
    </row>
    <row r="42">
      <c r="A42" s="17" t="s">
        <v>578</v>
      </c>
      <c r="B42" s="18">
        <f t="shared" ref="B42:I42" si="17">B41-B3</f>
        <v>0</v>
      </c>
      <c r="C42" s="18">
        <f t="shared" si="17"/>
        <v>0</v>
      </c>
      <c r="D42" s="18">
        <f t="shared" si="17"/>
        <v>0</v>
      </c>
      <c r="E42" s="18">
        <f t="shared" si="17"/>
        <v>0</v>
      </c>
      <c r="F42" s="18">
        <f t="shared" si="17"/>
        <v>0</v>
      </c>
      <c r="G42" s="18">
        <f t="shared" si="17"/>
        <v>0</v>
      </c>
      <c r="H42" s="18">
        <f t="shared" si="17"/>
        <v>0</v>
      </c>
      <c r="I42" s="18">
        <f t="shared" si="17"/>
        <v>0</v>
      </c>
    </row>
    <row r="43">
      <c r="A43" s="3"/>
    </row>
    <row r="44">
      <c r="A44" s="3" t="s">
        <v>599</v>
      </c>
    </row>
    <row r="45">
      <c r="A45" s="19" t="s">
        <v>8</v>
      </c>
      <c r="B45" s="30">
        <f>averageif('2018'!$D:$D,$A45,'2018'!$G:$G)</f>
        <v>1.431818182</v>
      </c>
      <c r="C45" s="30">
        <f>averageif('2019'!$D:$D,$A45,'2019'!$G:$G)</f>
        <v>1.194690265</v>
      </c>
      <c r="D45" s="30">
        <f>averageif('2020'!$D:$D,$A45,'2020'!$G:$G)</f>
        <v>1.241666667</v>
      </c>
      <c r="E45" s="30">
        <f>averageif('2021'!$D:$D,$A45,'2021'!$G:$G)</f>
        <v>1.133858268</v>
      </c>
      <c r="F45" s="30">
        <f>averageif('2022'!$D:$D,$A45,'2022'!$G:$G)</f>
        <v>1.122302158</v>
      </c>
      <c r="G45" s="30">
        <f>averageif('2023'!$D:$D,$A45,'2023'!$G:$G)</f>
        <v>1.260869565</v>
      </c>
      <c r="H45" s="30">
        <f>averageif('2024'!$D:$D,$A45,'2024'!$G:$G)</f>
        <v>1.177777778</v>
      </c>
      <c r="I45" s="30">
        <f>averageif('2025'!$D:$D,$A45,'2025'!$G:$G)</f>
        <v>1.134453782</v>
      </c>
    </row>
    <row r="46">
      <c r="A46" s="19" t="s">
        <v>10</v>
      </c>
      <c r="B46" s="30">
        <f>averageif('2018'!$D:$D,$A46,'2018'!$G:$G)</f>
        <v>2.545454545</v>
      </c>
      <c r="C46" s="30">
        <f>averageif('2019'!$D:$D,$A46,'2019'!$G:$G)</f>
        <v>2.666666667</v>
      </c>
      <c r="D46" s="30">
        <f>averageif('2020'!$D:$D,$A46,'2020'!$G:$G)</f>
        <v>2.8</v>
      </c>
      <c r="E46" s="30">
        <f>averageif('2021'!$D:$D,$A46,'2021'!$G:$G)</f>
        <v>2.875</v>
      </c>
      <c r="F46" s="30">
        <f>averageif('2022'!$D:$D,$A46,'2022'!$G:$G)</f>
        <v>2.909090909</v>
      </c>
      <c r="G46" s="30">
        <f>averageif('2023'!$D:$D,$A46,'2023'!$G:$G)</f>
        <v>3.230769231</v>
      </c>
      <c r="H46" s="30">
        <f>averageif('2024'!$D:$D,$A46,'2024'!$G:$G)</f>
        <v>2.80952381</v>
      </c>
      <c r="I46" s="30">
        <f>averageif('2025'!$D:$D,$A46,'2025'!$G:$G)</f>
        <v>2.7</v>
      </c>
    </row>
    <row r="47">
      <c r="A47" s="21" t="s">
        <v>577</v>
      </c>
      <c r="B47" s="31">
        <f>average('2018'!$G:$G)</f>
        <v>1.590909091</v>
      </c>
      <c r="C47" s="31">
        <f>average('2019'!$G:$G)</f>
        <v>1.425373134</v>
      </c>
      <c r="D47" s="31">
        <f>average('2020'!$G:$G)</f>
        <v>1.593548387</v>
      </c>
      <c r="E47" s="31">
        <f>average('2021'!$G:$G)</f>
        <v>1.410596026</v>
      </c>
      <c r="F47" s="31">
        <f>average('2022'!$G:$G)</f>
        <v>1.465116279</v>
      </c>
      <c r="G47" s="31">
        <f>average('2023'!$G:$G)</f>
        <v>1.573170732</v>
      </c>
      <c r="H47" s="31">
        <f>average('2024'!$G:$G)</f>
        <v>1.397435897</v>
      </c>
      <c r="I47" s="31">
        <f>average('2025'!$G:$G)</f>
        <v>1.35971223</v>
      </c>
    </row>
    <row r="49">
      <c r="A49" s="3" t="s">
        <v>600</v>
      </c>
    </row>
    <row r="50">
      <c r="A50" s="19" t="s">
        <v>8</v>
      </c>
      <c r="B50" s="24">
        <f>COUNTIFs('2018'!$D:$D,$A50,'2018'!$G:$G,"&gt;1")</f>
        <v>32</v>
      </c>
      <c r="C50" s="24">
        <f>COUNTIFs('2019'!$D:$D,$A50,'2019'!$G:$G,"&gt;1")</f>
        <v>13</v>
      </c>
      <c r="D50" s="24">
        <f>COUNTIFs('2020'!$D:$D,$A50,'2020'!$G:$G,"&gt;1")</f>
        <v>21</v>
      </c>
      <c r="E50" s="24">
        <f>COUNTIFs('2021'!$D:$D,$A50,'2021'!$G:$G,"&gt;1")</f>
        <v>12</v>
      </c>
      <c r="F50" s="24">
        <f>COUNTIFs('2022'!$D:$D,$A50,'2022'!$G:$G,"&gt;1")</f>
        <v>14</v>
      </c>
      <c r="G50" s="24">
        <f>COUNTIFs('2023'!$D:$D,$A50,'2023'!$G:$G,"&gt;1")</f>
        <v>25</v>
      </c>
      <c r="H50" s="24">
        <f>COUNTIFs('2024'!$D:$D,$A50,'2024'!$G:$G,"&gt;1")</f>
        <v>21</v>
      </c>
      <c r="I50" s="24">
        <f>COUNTIFs('2025'!$D:$D,$A50,'2025'!$G:$G,"&gt;1")</f>
        <v>13</v>
      </c>
    </row>
    <row r="51">
      <c r="A51" s="19" t="s">
        <v>10</v>
      </c>
      <c r="B51" s="24">
        <f>COUNTIFs('2018'!$D:$D,$A51,'2018'!$G:$G,"&gt;1")</f>
        <v>16</v>
      </c>
      <c r="C51" s="24">
        <f>COUNTIFs('2019'!$D:$D,$A51,'2019'!$G:$G,"&gt;1")</f>
        <v>19</v>
      </c>
      <c r="D51" s="24">
        <f>COUNTIFs('2020'!$D:$D,$A51,'2020'!$G:$G,"&gt;1")</f>
        <v>30</v>
      </c>
      <c r="E51" s="24">
        <f>COUNTIFs('2021'!$D:$D,$A51,'2021'!$G:$G,"&gt;1")</f>
        <v>22</v>
      </c>
      <c r="F51" s="24">
        <f>COUNTIFs('2022'!$D:$D,$A51,'2022'!$G:$G,"&gt;1")</f>
        <v>23</v>
      </c>
      <c r="G51" s="24">
        <f>COUNTIFs('2023'!$D:$D,$A51,'2023'!$G:$G,"&gt;1")</f>
        <v>21</v>
      </c>
      <c r="H51" s="24">
        <f>COUNTIFs('2024'!$D:$D,$A51,'2024'!$G:$G,"&gt;1")</f>
        <v>17</v>
      </c>
      <c r="I51" s="24">
        <f>COUNTIFs('2025'!$D:$D,$A51,'2025'!$G:$G,"&gt;1")</f>
        <v>14</v>
      </c>
    </row>
    <row r="52">
      <c r="A52" s="21" t="s">
        <v>577</v>
      </c>
      <c r="B52" s="25">
        <f>COUNTIFs('2018'!$G:$G,"&gt;1")</f>
        <v>48</v>
      </c>
      <c r="C52" s="25">
        <f>COUNTIFs('2019'!$G:$G,"&gt;1")</f>
        <v>32</v>
      </c>
      <c r="D52" s="25">
        <f>COUNTIFs('2020'!$G:$G,"&gt;1")</f>
        <v>51</v>
      </c>
      <c r="E52" s="25">
        <f>COUNTIFs('2021'!$G:$G,"&gt;1")</f>
        <v>34</v>
      </c>
      <c r="F52" s="25">
        <f>COUNTIFs('2022'!$G:$G,"&gt;1")</f>
        <v>37</v>
      </c>
      <c r="G52" s="25">
        <f>COUNTIFs('2023'!$G:$G,"&gt;1")</f>
        <v>46</v>
      </c>
      <c r="H52" s="25">
        <f>COUNTIFs('2024'!$G:$G,"&gt;1")</f>
        <v>38</v>
      </c>
      <c r="I52" s="25">
        <f>COUNTIFs('2025'!$G:$G,"&gt;1")</f>
        <v>27</v>
      </c>
    </row>
    <row r="53">
      <c r="A53" s="3"/>
    </row>
    <row r="54">
      <c r="A54" s="3" t="s">
        <v>601</v>
      </c>
    </row>
    <row r="55">
      <c r="A55" s="19" t="s">
        <v>8</v>
      </c>
      <c r="B55" s="26">
        <f t="shared" ref="B55:I55" si="18">B50/B3</f>
        <v>0.2424242424</v>
      </c>
      <c r="C55" s="26">
        <f t="shared" si="18"/>
        <v>0.1150442478</v>
      </c>
      <c r="D55" s="26">
        <f t="shared" si="18"/>
        <v>0.175</v>
      </c>
      <c r="E55" s="26">
        <f t="shared" si="18"/>
        <v>0.09448818898</v>
      </c>
      <c r="F55" s="26">
        <f t="shared" si="18"/>
        <v>0.1007194245</v>
      </c>
      <c r="G55" s="26">
        <f t="shared" si="18"/>
        <v>0.1811594203</v>
      </c>
      <c r="H55" s="26">
        <f t="shared" si="18"/>
        <v>0.1555555556</v>
      </c>
      <c r="I55" s="26">
        <f t="shared" si="18"/>
        <v>0.1092436975</v>
      </c>
    </row>
    <row r="56">
      <c r="A56" s="19" t="s">
        <v>10</v>
      </c>
      <c r="B56" s="26">
        <f t="shared" ref="B56:I56" si="19">B51/B4</f>
        <v>0.7272727273</v>
      </c>
      <c r="C56" s="26">
        <f t="shared" si="19"/>
        <v>0.9047619048</v>
      </c>
      <c r="D56" s="26">
        <f t="shared" si="19"/>
        <v>0.8571428571</v>
      </c>
      <c r="E56" s="26">
        <f t="shared" si="19"/>
        <v>0.9166666667</v>
      </c>
      <c r="F56" s="26">
        <f t="shared" si="19"/>
        <v>0.696969697</v>
      </c>
      <c r="G56" s="26">
        <f t="shared" si="19"/>
        <v>0.8076923077</v>
      </c>
      <c r="H56" s="26">
        <f t="shared" si="19"/>
        <v>0.8095238095</v>
      </c>
      <c r="I56" s="26">
        <f t="shared" si="19"/>
        <v>0.7</v>
      </c>
    </row>
    <row r="57">
      <c r="A57" s="21" t="s">
        <v>577</v>
      </c>
      <c r="B57" s="27">
        <f t="shared" ref="B57:I57" si="20">B52/B5</f>
        <v>0.3116883117</v>
      </c>
      <c r="C57" s="27">
        <f t="shared" si="20"/>
        <v>0.2388059701</v>
      </c>
      <c r="D57" s="27">
        <f t="shared" si="20"/>
        <v>0.3290322581</v>
      </c>
      <c r="E57" s="27">
        <f t="shared" si="20"/>
        <v>0.2251655629</v>
      </c>
      <c r="F57" s="27">
        <f t="shared" si="20"/>
        <v>0.2151162791</v>
      </c>
      <c r="G57" s="27">
        <f t="shared" si="20"/>
        <v>0.2804878049</v>
      </c>
      <c r="H57" s="27">
        <f t="shared" si="20"/>
        <v>0.2435897436</v>
      </c>
      <c r="I57" s="27">
        <f t="shared" si="20"/>
        <v>0.1942446043</v>
      </c>
    </row>
    <row r="58">
      <c r="A58" s="3"/>
    </row>
    <row r="59">
      <c r="A59" s="3" t="s">
        <v>602</v>
      </c>
    </row>
    <row r="60">
      <c r="A60" s="19" t="s">
        <v>8</v>
      </c>
      <c r="B60" s="24">
        <f>COUNTIFs('2018'!$D:$D,$A60,'2018'!$G:$G,"1")</f>
        <v>100</v>
      </c>
      <c r="C60" s="24">
        <f>COUNTIFs('2019'!$D:$D,$A60,'2019'!$G:$G,"1")</f>
        <v>100</v>
      </c>
      <c r="D60" s="24">
        <f>COUNTIFs('2020'!$D:$D,$A60,'2020'!$G:$G,"1")</f>
        <v>99</v>
      </c>
      <c r="E60" s="24">
        <f>COUNTIFs('2021'!$D:$D,$A60,'2021'!$G:$G,"1")</f>
        <v>115</v>
      </c>
      <c r="F60" s="24">
        <f>COUNTIFs('2022'!$D:$D,$A60,'2022'!$G:$G,"1")</f>
        <v>125</v>
      </c>
      <c r="G60" s="24">
        <f>COUNTIFs('2023'!$D:$D,$A60,'2023'!$G:$G,"1")</f>
        <v>113</v>
      </c>
      <c r="H60" s="24">
        <f>COUNTIFs('2024'!$D:$D,$A60,'2024'!$G:$G,"1")</f>
        <v>114</v>
      </c>
      <c r="I60" s="24">
        <f>COUNTIFs('2025'!$D:$D,$A60,'2025'!$G:$G,"1")</f>
        <v>106</v>
      </c>
    </row>
    <row r="61">
      <c r="A61" s="19" t="s">
        <v>10</v>
      </c>
      <c r="B61" s="24">
        <f>COUNTIFs('2018'!$D:$D,$A61,'2018'!$G:$G,"1")</f>
        <v>6</v>
      </c>
      <c r="C61" s="24">
        <f>COUNTIFs('2019'!$D:$D,$A61,'2019'!$G:$G,"1")</f>
        <v>2</v>
      </c>
      <c r="D61" s="24">
        <f>COUNTIFs('2020'!$D:$D,$A61,'2020'!$G:$G,"1")</f>
        <v>5</v>
      </c>
      <c r="E61" s="24">
        <f>COUNTIFs('2021'!$D:$D,$A61,'2021'!$G:$G,"1")</f>
        <v>2</v>
      </c>
      <c r="F61" s="24">
        <f>COUNTIFs('2022'!$D:$D,$A61,'2022'!$G:$G,"1")</f>
        <v>10</v>
      </c>
      <c r="G61" s="24">
        <f>COUNTIFs('2023'!$D:$D,$A61,'2023'!$G:$G,"1")</f>
        <v>5</v>
      </c>
      <c r="H61" s="24">
        <f>COUNTIFs('2024'!$D:$D,$A61,'2024'!$G:$G,"1")</f>
        <v>4</v>
      </c>
      <c r="I61" s="24">
        <f>COUNTIFs('2025'!$D:$D,$A61,'2025'!$G:$G,"1")</f>
        <v>6</v>
      </c>
    </row>
    <row r="62">
      <c r="A62" s="21" t="s">
        <v>577</v>
      </c>
      <c r="B62" s="25">
        <f>COUNTIFs('2018'!$G:$G,"1")</f>
        <v>106</v>
      </c>
      <c r="C62" s="25">
        <f>COUNTIFs('2019'!$G:$G,"1")</f>
        <v>102</v>
      </c>
      <c r="D62" s="25">
        <f>COUNTIFs('2020'!$G:$G,"1")</f>
        <v>104</v>
      </c>
      <c r="E62" s="25">
        <f>COUNTIFs('2021'!$G:$G,"1")</f>
        <v>117</v>
      </c>
      <c r="F62" s="25">
        <f>COUNTIFs('2022'!$G:$G,"1")</f>
        <v>135</v>
      </c>
      <c r="G62" s="25">
        <f>COUNTIFs('2023'!$G:$G,"1")</f>
        <v>118</v>
      </c>
      <c r="H62" s="25">
        <f>COUNTIFs('2024'!$G:$G,"1")</f>
        <v>118</v>
      </c>
      <c r="I62" s="25">
        <f>COUNTIFs('2025'!$G:$G,"1")</f>
        <v>112</v>
      </c>
    </row>
    <row r="63">
      <c r="A63" s="17" t="s">
        <v>578</v>
      </c>
      <c r="B63" s="32">
        <f t="shared" ref="B63:I63" si="21">B52+B62-B5</f>
        <v>0</v>
      </c>
      <c r="C63" s="32">
        <f t="shared" si="21"/>
        <v>0</v>
      </c>
      <c r="D63" s="32">
        <f t="shared" si="21"/>
        <v>0</v>
      </c>
      <c r="E63" s="32">
        <f t="shared" si="21"/>
        <v>0</v>
      </c>
      <c r="F63" s="32">
        <f t="shared" si="21"/>
        <v>0</v>
      </c>
      <c r="G63" s="32">
        <f t="shared" si="21"/>
        <v>0</v>
      </c>
      <c r="H63" s="32">
        <f t="shared" si="21"/>
        <v>0</v>
      </c>
      <c r="I63" s="32">
        <f t="shared" si="21"/>
        <v>0</v>
      </c>
    </row>
    <row r="64">
      <c r="A64" s="3"/>
    </row>
  </sheetData>
  <drawing r:id="rId1"/>
</worksheet>
</file>